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2.xml" ContentType="application/vnd.openxmlformats-officedocument.drawing+xml"/>
  <Override PartName="/xl/slicers/slicer2.xml" ContentType="application/vnd.ms-excel.slicer+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hidePivotFieldList="1"/>
  <mc:AlternateContent xmlns:mc="http://schemas.openxmlformats.org/markup-compatibility/2006">
    <mc:Choice Requires="x15">
      <x15ac:absPath xmlns:x15ac="http://schemas.microsoft.com/office/spreadsheetml/2010/11/ac" url="C:\Users\A SAI SIDDARTHA\Downloads\MyexcelMajorTask.peojects\"/>
    </mc:Choice>
  </mc:AlternateContent>
  <xr:revisionPtr revIDLastSave="0" documentId="8_{E5BFE9DA-2EA8-487E-904C-11114F2E2F3A}" xr6:coauthVersionLast="47" xr6:coauthVersionMax="47" xr10:uidLastSave="{00000000-0000-0000-0000-000000000000}"/>
  <bookViews>
    <workbookView xWindow="-108" yWindow="-108" windowWidth="23256" windowHeight="12456" activeTab="4" xr2:uid="{00000000-000D-0000-FFFF-FFFF00000000}"/>
  </bookViews>
  <sheets>
    <sheet name="supermarket_Data" sheetId="1" r:id="rId1"/>
    <sheet name="Data_Dictionary" sheetId="2" r:id="rId2"/>
    <sheet name="KPI_CARDS" sheetId="5" r:id="rId3"/>
    <sheet name="pivot_tables" sheetId="4" r:id="rId4"/>
    <sheet name="Dashboard" sheetId="9" r:id="rId5"/>
  </sheets>
  <definedNames>
    <definedName name="Slicer_Branch">#N/A</definedName>
    <definedName name="Slicer_Customer_Type">#N/A</definedName>
    <definedName name="Slicer_Payment">#N/A</definedName>
    <definedName name="Slicer_Product_Line">#N/A</definedName>
    <definedName name="Slicer_Product_Line1">#N/A</definedName>
    <definedName name="Slicer_sales_by_month">#N/A</definedName>
  </definedNames>
  <calcPr calcId="191029"/>
  <pivotCaches>
    <pivotCache cacheId="0" r:id="rId6"/>
    <pivotCache cacheId="2" r:id="rId7"/>
  </pivotCaches>
  <fileRecoveryPr repairLoad="1"/>
  <extLst>
    <ext xmlns:x14="http://schemas.microsoft.com/office/spreadsheetml/2009/9/main" uri="{BBE1A952-AA13-448e-AADC-164F8A28A991}">
      <x14:slicerCaches>
        <x14:slicerCache r:id="rId8"/>
        <x14:slicerCache r:id="rId9"/>
        <x14:slicerCache r:id="rId10"/>
        <x14:slicerCache r:id="rId11"/>
        <x14:slicerCache r:id="rId12"/>
        <x14:slicerCache r:id="rId13"/>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R502" i="1" l="1"/>
  <c r="R501" i="1"/>
  <c r="R500" i="1"/>
  <c r="R499" i="1"/>
  <c r="R498" i="1"/>
  <c r="R497" i="1"/>
  <c r="R496" i="1"/>
  <c r="R495" i="1"/>
  <c r="R494" i="1"/>
  <c r="R493" i="1"/>
  <c r="R492" i="1"/>
  <c r="R491" i="1"/>
  <c r="R490" i="1"/>
  <c r="R489" i="1"/>
  <c r="R488" i="1"/>
  <c r="R487" i="1"/>
  <c r="R486" i="1"/>
  <c r="R485" i="1"/>
  <c r="R484" i="1"/>
  <c r="R483" i="1"/>
  <c r="R482" i="1"/>
  <c r="R481" i="1"/>
  <c r="R480" i="1"/>
  <c r="R479" i="1"/>
  <c r="R478" i="1"/>
  <c r="R477" i="1"/>
  <c r="R476" i="1"/>
  <c r="R475" i="1"/>
  <c r="R474" i="1"/>
  <c r="R473" i="1"/>
  <c r="R472" i="1"/>
  <c r="R471" i="1"/>
  <c r="R470" i="1"/>
  <c r="R469" i="1"/>
  <c r="R468" i="1"/>
  <c r="R467" i="1"/>
  <c r="R466" i="1"/>
  <c r="R465" i="1"/>
  <c r="R464" i="1"/>
  <c r="R463" i="1"/>
  <c r="R462" i="1"/>
  <c r="R461" i="1"/>
  <c r="R460" i="1"/>
  <c r="R459" i="1"/>
  <c r="R458" i="1"/>
  <c r="R457" i="1"/>
  <c r="R456" i="1"/>
  <c r="R455" i="1"/>
  <c r="R454" i="1"/>
  <c r="R453" i="1"/>
  <c r="R452" i="1"/>
  <c r="R451" i="1"/>
  <c r="R450" i="1"/>
  <c r="R449" i="1"/>
  <c r="R448" i="1"/>
  <c r="R447" i="1"/>
  <c r="R446" i="1"/>
  <c r="R445" i="1"/>
  <c r="R444" i="1"/>
  <c r="R443" i="1"/>
  <c r="R442" i="1"/>
  <c r="R441" i="1"/>
  <c r="R440" i="1"/>
  <c r="R439" i="1"/>
  <c r="R438" i="1"/>
  <c r="R437" i="1"/>
  <c r="R436" i="1"/>
  <c r="R435" i="1"/>
  <c r="R434" i="1"/>
  <c r="R433" i="1"/>
  <c r="R432" i="1"/>
  <c r="R431" i="1"/>
  <c r="R430" i="1"/>
  <c r="R429" i="1"/>
  <c r="R428" i="1"/>
  <c r="R427" i="1"/>
  <c r="R426" i="1"/>
  <c r="R425" i="1"/>
  <c r="R424" i="1"/>
  <c r="R423" i="1"/>
  <c r="R422" i="1"/>
  <c r="R421" i="1"/>
  <c r="R420" i="1"/>
  <c r="R419" i="1"/>
  <c r="R418" i="1"/>
  <c r="R417" i="1"/>
  <c r="R416" i="1"/>
  <c r="R415" i="1"/>
  <c r="R414" i="1"/>
  <c r="R413" i="1"/>
  <c r="R412" i="1"/>
  <c r="R411" i="1"/>
  <c r="R410" i="1"/>
  <c r="R409" i="1"/>
  <c r="R408" i="1"/>
  <c r="R407" i="1"/>
  <c r="R406" i="1"/>
  <c r="R405" i="1"/>
  <c r="R404" i="1"/>
  <c r="R403" i="1"/>
  <c r="R402" i="1"/>
  <c r="R401" i="1"/>
  <c r="R400" i="1"/>
  <c r="R399" i="1"/>
  <c r="R398" i="1"/>
  <c r="R397" i="1"/>
  <c r="R396" i="1"/>
  <c r="R395" i="1"/>
  <c r="R394" i="1"/>
  <c r="R393" i="1"/>
  <c r="R392" i="1"/>
  <c r="R391" i="1"/>
  <c r="R390" i="1"/>
  <c r="R389" i="1"/>
  <c r="R388" i="1"/>
  <c r="R387" i="1"/>
  <c r="R386" i="1"/>
  <c r="R385" i="1"/>
  <c r="R384" i="1"/>
  <c r="R383" i="1"/>
  <c r="R382" i="1"/>
  <c r="R381" i="1"/>
  <c r="R380" i="1"/>
  <c r="R379" i="1"/>
  <c r="R378" i="1"/>
  <c r="R377" i="1"/>
  <c r="R376" i="1"/>
  <c r="R375" i="1"/>
  <c r="R374" i="1"/>
  <c r="R373" i="1"/>
  <c r="R372" i="1"/>
  <c r="R371" i="1"/>
  <c r="R370" i="1"/>
  <c r="R369" i="1"/>
  <c r="R368" i="1"/>
  <c r="R367" i="1"/>
  <c r="R366" i="1"/>
  <c r="R365" i="1"/>
  <c r="R364" i="1"/>
  <c r="R363" i="1"/>
  <c r="R362" i="1"/>
  <c r="R361" i="1"/>
  <c r="R360" i="1"/>
  <c r="R359" i="1"/>
  <c r="R358" i="1"/>
  <c r="R357" i="1"/>
  <c r="R356" i="1"/>
  <c r="R355" i="1"/>
  <c r="R354" i="1"/>
  <c r="R353" i="1"/>
  <c r="R352" i="1"/>
  <c r="R351" i="1"/>
  <c r="R350" i="1"/>
  <c r="R349" i="1"/>
  <c r="R348" i="1"/>
  <c r="R347" i="1"/>
  <c r="R346" i="1"/>
  <c r="R345" i="1"/>
  <c r="R344" i="1"/>
  <c r="R343" i="1"/>
  <c r="R342" i="1"/>
  <c r="R341" i="1"/>
  <c r="R340" i="1"/>
  <c r="R339" i="1"/>
  <c r="R338" i="1"/>
  <c r="R337" i="1"/>
  <c r="R336" i="1"/>
  <c r="R335" i="1"/>
  <c r="R334" i="1"/>
  <c r="R333" i="1"/>
  <c r="R332" i="1"/>
  <c r="R331" i="1"/>
  <c r="R330" i="1"/>
  <c r="R329" i="1"/>
  <c r="R328" i="1"/>
  <c r="R327" i="1"/>
  <c r="R326" i="1"/>
  <c r="R325" i="1"/>
  <c r="R324" i="1"/>
  <c r="R323" i="1"/>
  <c r="R322" i="1"/>
  <c r="R321" i="1"/>
  <c r="R320" i="1"/>
  <c r="R319" i="1"/>
  <c r="R318" i="1"/>
  <c r="R317" i="1"/>
  <c r="R316" i="1"/>
  <c r="R315" i="1"/>
  <c r="R314" i="1"/>
  <c r="R313" i="1"/>
  <c r="R312" i="1"/>
  <c r="R311" i="1"/>
  <c r="R310" i="1"/>
  <c r="R309" i="1"/>
  <c r="R308" i="1"/>
  <c r="R307" i="1"/>
  <c r="R306" i="1"/>
  <c r="R305" i="1"/>
  <c r="R304" i="1"/>
  <c r="R303" i="1"/>
  <c r="R302" i="1"/>
  <c r="R301" i="1"/>
  <c r="R300" i="1"/>
  <c r="R299" i="1"/>
  <c r="R298" i="1"/>
  <c r="R297" i="1"/>
  <c r="R296" i="1"/>
  <c r="R295" i="1"/>
  <c r="R294" i="1"/>
  <c r="R293" i="1"/>
  <c r="R292" i="1"/>
  <c r="R291" i="1"/>
  <c r="R290" i="1"/>
  <c r="R289" i="1"/>
  <c r="R288" i="1"/>
  <c r="R287" i="1"/>
  <c r="R286" i="1"/>
  <c r="R285" i="1"/>
  <c r="R284" i="1"/>
  <c r="R283" i="1"/>
  <c r="R282" i="1"/>
  <c r="R281" i="1"/>
  <c r="R280" i="1"/>
  <c r="R279" i="1"/>
  <c r="R278" i="1"/>
  <c r="R277" i="1"/>
  <c r="R276" i="1"/>
  <c r="R275" i="1"/>
  <c r="R274" i="1"/>
  <c r="R273" i="1"/>
  <c r="R272" i="1"/>
  <c r="R271" i="1"/>
  <c r="R270" i="1"/>
  <c r="R269" i="1"/>
  <c r="R268" i="1"/>
  <c r="R267" i="1"/>
  <c r="R266" i="1"/>
  <c r="R265" i="1"/>
  <c r="R264" i="1"/>
  <c r="R263" i="1"/>
  <c r="R262" i="1"/>
  <c r="R261" i="1"/>
  <c r="R260" i="1"/>
  <c r="R259" i="1"/>
  <c r="R258" i="1"/>
  <c r="R257" i="1"/>
  <c r="R256" i="1"/>
  <c r="R255" i="1"/>
  <c r="R254" i="1"/>
  <c r="R253" i="1"/>
  <c r="R252" i="1"/>
  <c r="R251" i="1"/>
  <c r="R250" i="1"/>
  <c r="R249" i="1"/>
  <c r="R248" i="1"/>
  <c r="R247" i="1"/>
  <c r="R246" i="1"/>
  <c r="R245" i="1"/>
  <c r="R244" i="1"/>
  <c r="R243" i="1"/>
  <c r="R242" i="1"/>
  <c r="R241" i="1"/>
  <c r="R240" i="1"/>
  <c r="R239" i="1"/>
  <c r="R238" i="1"/>
  <c r="R237" i="1"/>
  <c r="R236" i="1"/>
  <c r="R235" i="1"/>
  <c r="R234" i="1"/>
  <c r="R233" i="1"/>
  <c r="R232" i="1"/>
  <c r="R231" i="1"/>
  <c r="R230" i="1"/>
  <c r="R229" i="1"/>
  <c r="R228" i="1"/>
  <c r="R227" i="1"/>
  <c r="R226" i="1"/>
  <c r="R225" i="1"/>
  <c r="R224" i="1"/>
  <c r="R223" i="1"/>
  <c r="R222" i="1"/>
  <c r="R221" i="1"/>
  <c r="R220" i="1"/>
  <c r="R219" i="1"/>
  <c r="R218" i="1"/>
  <c r="R217" i="1"/>
  <c r="R216" i="1"/>
  <c r="R215" i="1"/>
  <c r="R214" i="1"/>
  <c r="R213" i="1"/>
  <c r="R212" i="1"/>
  <c r="R211" i="1"/>
  <c r="R210" i="1"/>
  <c r="R209" i="1"/>
  <c r="R208" i="1"/>
  <c r="R207" i="1"/>
  <c r="R206" i="1"/>
  <c r="R205" i="1"/>
  <c r="R204" i="1"/>
  <c r="R203" i="1"/>
  <c r="R202" i="1"/>
  <c r="R201" i="1"/>
  <c r="R200" i="1"/>
  <c r="R199" i="1"/>
  <c r="R198" i="1"/>
  <c r="R197" i="1"/>
  <c r="R196" i="1"/>
  <c r="R195" i="1"/>
  <c r="R194" i="1"/>
  <c r="R193" i="1"/>
  <c r="R192" i="1"/>
  <c r="R191" i="1"/>
  <c r="R190" i="1"/>
  <c r="R189" i="1"/>
  <c r="R188" i="1"/>
  <c r="R187" i="1"/>
  <c r="R186" i="1"/>
  <c r="R185" i="1"/>
  <c r="R184" i="1"/>
  <c r="R183" i="1"/>
  <c r="R182" i="1"/>
  <c r="R181" i="1"/>
  <c r="R180" i="1"/>
  <c r="R179" i="1"/>
  <c r="R178" i="1"/>
  <c r="R177" i="1"/>
  <c r="R176" i="1"/>
  <c r="R175" i="1"/>
  <c r="R174" i="1"/>
  <c r="R173" i="1"/>
  <c r="R172" i="1"/>
  <c r="R171" i="1"/>
  <c r="R170" i="1"/>
  <c r="R169" i="1"/>
  <c r="R168" i="1"/>
  <c r="R167" i="1"/>
  <c r="R166" i="1"/>
  <c r="R165" i="1"/>
  <c r="R164" i="1"/>
  <c r="R163" i="1"/>
  <c r="R162" i="1"/>
  <c r="R161" i="1"/>
  <c r="R160" i="1"/>
  <c r="R159" i="1"/>
  <c r="R158" i="1"/>
  <c r="R157" i="1"/>
  <c r="R156" i="1"/>
  <c r="R155" i="1"/>
  <c r="R154" i="1"/>
  <c r="R153" i="1"/>
  <c r="R152" i="1"/>
  <c r="R151" i="1"/>
  <c r="R150" i="1"/>
  <c r="R149" i="1"/>
  <c r="R148" i="1"/>
  <c r="R147" i="1"/>
  <c r="R146" i="1"/>
  <c r="R145" i="1"/>
  <c r="R144" i="1"/>
  <c r="R143" i="1"/>
  <c r="R142" i="1"/>
  <c r="R141" i="1"/>
  <c r="R140" i="1"/>
  <c r="R139" i="1"/>
  <c r="R138" i="1"/>
  <c r="R137" i="1"/>
  <c r="R136" i="1"/>
  <c r="R135" i="1"/>
  <c r="R134" i="1"/>
  <c r="R133" i="1"/>
  <c r="R132" i="1"/>
  <c r="R131" i="1"/>
  <c r="R130" i="1"/>
  <c r="R129" i="1"/>
  <c r="R128" i="1"/>
  <c r="R127" i="1"/>
  <c r="R126" i="1"/>
  <c r="R125" i="1"/>
  <c r="R124" i="1"/>
  <c r="R123" i="1"/>
  <c r="R122" i="1"/>
  <c r="R121" i="1"/>
  <c r="R120" i="1"/>
  <c r="R119" i="1"/>
  <c r="R118" i="1"/>
  <c r="R117" i="1"/>
  <c r="R116" i="1"/>
  <c r="R115" i="1"/>
  <c r="R114" i="1"/>
  <c r="R113" i="1"/>
  <c r="R112" i="1"/>
  <c r="R111" i="1"/>
  <c r="R110" i="1"/>
  <c r="R109" i="1"/>
  <c r="R108" i="1"/>
  <c r="R107" i="1"/>
  <c r="R106" i="1"/>
  <c r="R105" i="1"/>
  <c r="R104" i="1"/>
  <c r="R103" i="1"/>
  <c r="R102" i="1"/>
  <c r="R101" i="1"/>
  <c r="R100" i="1"/>
  <c r="R99" i="1"/>
  <c r="R98" i="1"/>
  <c r="R97" i="1"/>
  <c r="R96" i="1"/>
  <c r="R95" i="1"/>
  <c r="R94" i="1"/>
  <c r="R93" i="1"/>
  <c r="R92" i="1"/>
  <c r="R91" i="1"/>
  <c r="R90" i="1"/>
  <c r="R89" i="1"/>
  <c r="R88" i="1"/>
  <c r="R87" i="1"/>
  <c r="R86" i="1"/>
  <c r="R85" i="1"/>
  <c r="R84" i="1"/>
  <c r="R83" i="1"/>
  <c r="R82" i="1"/>
  <c r="R81" i="1"/>
  <c r="R80" i="1"/>
  <c r="R79" i="1"/>
  <c r="R78" i="1"/>
  <c r="R77" i="1"/>
  <c r="R76" i="1"/>
  <c r="R75" i="1"/>
  <c r="R74" i="1"/>
  <c r="R73" i="1"/>
  <c r="R72" i="1"/>
  <c r="R71" i="1"/>
  <c r="R70" i="1"/>
  <c r="R69" i="1"/>
  <c r="R68" i="1"/>
  <c r="R67" i="1"/>
  <c r="R66" i="1"/>
  <c r="R65" i="1"/>
  <c r="R64" i="1"/>
  <c r="R63" i="1"/>
  <c r="R62" i="1"/>
  <c r="R61" i="1"/>
  <c r="R60" i="1"/>
  <c r="R59" i="1"/>
  <c r="R58" i="1"/>
  <c r="R57" i="1"/>
  <c r="R56" i="1"/>
  <c r="R55" i="1"/>
  <c r="R54" i="1"/>
  <c r="R53" i="1"/>
  <c r="R52" i="1"/>
  <c r="R51" i="1"/>
  <c r="R50" i="1"/>
  <c r="R49" i="1"/>
  <c r="R48" i="1"/>
  <c r="R47" i="1"/>
  <c r="R46" i="1"/>
  <c r="R45" i="1"/>
  <c r="R44" i="1"/>
  <c r="R43" i="1"/>
  <c r="R42" i="1"/>
  <c r="R41" i="1"/>
  <c r="R40" i="1"/>
  <c r="R39" i="1"/>
  <c r="R38" i="1"/>
  <c r="R37" i="1"/>
  <c r="R36" i="1"/>
  <c r="R35" i="1"/>
  <c r="R34" i="1"/>
  <c r="R33" i="1"/>
  <c r="R32" i="1"/>
  <c r="R31" i="1"/>
  <c r="R30" i="1"/>
  <c r="R29" i="1"/>
  <c r="R28" i="1"/>
  <c r="R27" i="1"/>
  <c r="R26" i="1"/>
  <c r="R25" i="1"/>
  <c r="R24" i="1"/>
  <c r="R23" i="1"/>
  <c r="R22" i="1"/>
  <c r="R21" i="1"/>
  <c r="R20" i="1"/>
  <c r="R19" i="1"/>
  <c r="R18" i="1"/>
  <c r="R17" i="1"/>
  <c r="R16" i="1"/>
  <c r="R15" i="1"/>
  <c r="R14" i="1"/>
  <c r="R13" i="1"/>
  <c r="R12" i="1"/>
  <c r="R11" i="1"/>
  <c r="R10" i="1"/>
  <c r="R9" i="1"/>
  <c r="R8" i="1"/>
  <c r="R7" i="1"/>
  <c r="R6" i="1"/>
  <c r="R5" i="1"/>
  <c r="R4" i="1"/>
  <c r="R3" i="1"/>
  <c r="R2" i="1"/>
</calcChain>
</file>

<file path=xl/sharedStrings.xml><?xml version="1.0" encoding="utf-8"?>
<sst xmlns="http://schemas.openxmlformats.org/spreadsheetml/2006/main" count="4204" uniqueCount="959">
  <si>
    <t>Invoice_ID</t>
  </si>
  <si>
    <t>Date</t>
  </si>
  <si>
    <t>Time</t>
  </si>
  <si>
    <t>Branch</t>
  </si>
  <si>
    <t>City</t>
  </si>
  <si>
    <t>Customer_Type</t>
  </si>
  <si>
    <t>Gender</t>
  </si>
  <si>
    <t>Product_Line</t>
  </si>
  <si>
    <t>Unit_Price</t>
  </si>
  <si>
    <t>Quantity</t>
  </si>
  <si>
    <t>Tax</t>
  </si>
  <si>
    <t>Total_Sales</t>
  </si>
  <si>
    <t>COGS</t>
  </si>
  <si>
    <t>Gross_Income</t>
  </si>
  <si>
    <t>Gross_Margin_%</t>
  </si>
  <si>
    <t>Payment</t>
  </si>
  <si>
    <t>Rating</t>
  </si>
  <si>
    <t>INV00007</t>
  </si>
  <si>
    <t>21:03</t>
  </si>
  <si>
    <t>Hyderabad Central</t>
  </si>
  <si>
    <t>Hyderabad</t>
  </si>
  <si>
    <t>Normal</t>
  </si>
  <si>
    <t>Female</t>
  </si>
  <si>
    <t>Snacks</t>
  </si>
  <si>
    <t>Wallet</t>
  </si>
  <si>
    <t>INV00057</t>
  </si>
  <si>
    <t>10:27</t>
  </si>
  <si>
    <t>Male</t>
  </si>
  <si>
    <t>Food &amp; Beverages</t>
  </si>
  <si>
    <t>Debit Card</t>
  </si>
  <si>
    <t>INV00208</t>
  </si>
  <si>
    <t>10:54</t>
  </si>
  <si>
    <t>Warangal</t>
  </si>
  <si>
    <t>Member</t>
  </si>
  <si>
    <t>Fruits &amp; Vegetables</t>
  </si>
  <si>
    <t>Credit Card</t>
  </si>
  <si>
    <t>INV00437</t>
  </si>
  <si>
    <t>14:49</t>
  </si>
  <si>
    <t>Cash</t>
  </si>
  <si>
    <t>INV00094</t>
  </si>
  <si>
    <t>13:32</t>
  </si>
  <si>
    <t>Kukatpally</t>
  </si>
  <si>
    <t>Household</t>
  </si>
  <si>
    <t>INV00101</t>
  </si>
  <si>
    <t>11:51</t>
  </si>
  <si>
    <t>Groceries</t>
  </si>
  <si>
    <t>UPI</t>
  </si>
  <si>
    <t>INV00423</t>
  </si>
  <si>
    <t>10:11</t>
  </si>
  <si>
    <t>INV00001</t>
  </si>
  <si>
    <t>11:56</t>
  </si>
  <si>
    <t>Secunderabad</t>
  </si>
  <si>
    <t>Bakery</t>
  </si>
  <si>
    <t>INV00006</t>
  </si>
  <si>
    <t>10:28</t>
  </si>
  <si>
    <t>INV00033</t>
  </si>
  <si>
    <t>09:44</t>
  </si>
  <si>
    <t>INV00490</t>
  </si>
  <si>
    <t>17:03</t>
  </si>
  <si>
    <t>Vijayawada</t>
  </si>
  <si>
    <t>INV00170</t>
  </si>
  <si>
    <t>16:17</t>
  </si>
  <si>
    <t>INV00263</t>
  </si>
  <si>
    <t>11:22</t>
  </si>
  <si>
    <t>INV00014</t>
  </si>
  <si>
    <t>11:36</t>
  </si>
  <si>
    <t>INV00179</t>
  </si>
  <si>
    <t>18:03</t>
  </si>
  <si>
    <t>INV00143</t>
  </si>
  <si>
    <t>13:04</t>
  </si>
  <si>
    <t>INV00193</t>
  </si>
  <si>
    <t>11:05</t>
  </si>
  <si>
    <t>Personal Care</t>
  </si>
  <si>
    <t>INV00493</t>
  </si>
  <si>
    <t>11:57</t>
  </si>
  <si>
    <t>INV00165</t>
  </si>
  <si>
    <t>20:05</t>
  </si>
  <si>
    <t>INV00209</t>
  </si>
  <si>
    <t>18:16</t>
  </si>
  <si>
    <t>INV00481</t>
  </si>
  <si>
    <t>16:07</t>
  </si>
  <si>
    <t>INV00114</t>
  </si>
  <si>
    <t>16:31</t>
  </si>
  <si>
    <t>INV00050</t>
  </si>
  <si>
    <t>09:18</t>
  </si>
  <si>
    <t>INV00080</t>
  </si>
  <si>
    <t>15:08</t>
  </si>
  <si>
    <t>INV00218</t>
  </si>
  <si>
    <t>12:20</t>
  </si>
  <si>
    <t>INV00270</t>
  </si>
  <si>
    <t>15:40</t>
  </si>
  <si>
    <t>INV00295</t>
  </si>
  <si>
    <t>14:40</t>
  </si>
  <si>
    <t>INV00093</t>
  </si>
  <si>
    <t>19:41</t>
  </si>
  <si>
    <t>INV00158</t>
  </si>
  <si>
    <t>16:03</t>
  </si>
  <si>
    <t>INV00198</t>
  </si>
  <si>
    <t>09:23</t>
  </si>
  <si>
    <t>Dairy Products</t>
  </si>
  <si>
    <t>INV00489</t>
  </si>
  <si>
    <t>21:39</t>
  </si>
  <si>
    <t>INV00028</t>
  </si>
  <si>
    <t>18:50</t>
  </si>
  <si>
    <t>INV00190</t>
  </si>
  <si>
    <t>17:58</t>
  </si>
  <si>
    <t>INV00337</t>
  </si>
  <si>
    <t>11:42</t>
  </si>
  <si>
    <t>INV00453</t>
  </si>
  <si>
    <t>18:55</t>
  </si>
  <si>
    <t>INV00499</t>
  </si>
  <si>
    <t>INV00035</t>
  </si>
  <si>
    <t>21:57</t>
  </si>
  <si>
    <t>INV00053</t>
  </si>
  <si>
    <t>11:48</t>
  </si>
  <si>
    <t>hyderabad</t>
  </si>
  <si>
    <t>INV00100</t>
  </si>
  <si>
    <t>INV00234</t>
  </si>
  <si>
    <t>10:45</t>
  </si>
  <si>
    <t>INV00483</t>
  </si>
  <si>
    <t>20:52</t>
  </si>
  <si>
    <t>INV00070</t>
  </si>
  <si>
    <t>INV00308</t>
  </si>
  <si>
    <t>19:20</t>
  </si>
  <si>
    <t>INV00428</t>
  </si>
  <si>
    <t>20:08</t>
  </si>
  <si>
    <t>INV00395</t>
  </si>
  <si>
    <t>13:22</t>
  </si>
  <si>
    <t>INV00471</t>
  </si>
  <si>
    <t>16:22</t>
  </si>
  <si>
    <t>INV00046</t>
  </si>
  <si>
    <t>12:14</t>
  </si>
  <si>
    <t>INV00123</t>
  </si>
  <si>
    <t>21:54</t>
  </si>
  <si>
    <t>INV00203</t>
  </si>
  <si>
    <t>21:21</t>
  </si>
  <si>
    <t>INV00228</t>
  </si>
  <si>
    <t>12:09</t>
  </si>
  <si>
    <t>INV00265</t>
  </si>
  <si>
    <t>09:40</t>
  </si>
  <si>
    <t>INV00129</t>
  </si>
  <si>
    <t>17:55</t>
  </si>
  <si>
    <t>INV00233</t>
  </si>
  <si>
    <t>15:43</t>
  </si>
  <si>
    <t>INV00272</t>
  </si>
  <si>
    <t>12:31</t>
  </si>
  <si>
    <t>INV00411</t>
  </si>
  <si>
    <t>10:40</t>
  </si>
  <si>
    <t>INV00452</t>
  </si>
  <si>
    <t>16:50</t>
  </si>
  <si>
    <t>INV00294</t>
  </si>
  <si>
    <t>19:52</t>
  </si>
  <si>
    <t>INV00348</t>
  </si>
  <si>
    <t>18:07</t>
  </si>
  <si>
    <t>INV00021</t>
  </si>
  <si>
    <t>12:06</t>
  </si>
  <si>
    <t>INV00239</t>
  </si>
  <si>
    <t>21:16</t>
  </si>
  <si>
    <t>INV00318</t>
  </si>
  <si>
    <t>12:17</t>
  </si>
  <si>
    <t>INV00338</t>
  </si>
  <si>
    <t>09:54</t>
  </si>
  <si>
    <t>INV00408</t>
  </si>
  <si>
    <t>18:11</t>
  </si>
  <si>
    <t>INV00088</t>
  </si>
  <si>
    <t>19:00</t>
  </si>
  <si>
    <t>INV00167</t>
  </si>
  <si>
    <t>10:41</t>
  </si>
  <si>
    <t>INV00044</t>
  </si>
  <si>
    <t>20:18</t>
  </si>
  <si>
    <t>INV00075</t>
  </si>
  <si>
    <t>13:53</t>
  </si>
  <si>
    <t>INV00482</t>
  </si>
  <si>
    <t>21:29</t>
  </si>
  <si>
    <t>INV00032</t>
  </si>
  <si>
    <t>20:54</t>
  </si>
  <si>
    <t>INV00394</t>
  </si>
  <si>
    <t>INV00479</t>
  </si>
  <si>
    <t>10:53</t>
  </si>
  <si>
    <t>INV00022</t>
  </si>
  <si>
    <t>INV00077</t>
  </si>
  <si>
    <t>19:07</t>
  </si>
  <si>
    <t>INV00316</t>
  </si>
  <si>
    <t>09:08</t>
  </si>
  <si>
    <t>INV00466</t>
  </si>
  <si>
    <t>18:31</t>
  </si>
  <si>
    <t>INV00013</t>
  </si>
  <si>
    <t>13:10</t>
  </si>
  <si>
    <t>INV00169</t>
  </si>
  <si>
    <t>09:12</t>
  </si>
  <si>
    <t>INV00291</t>
  </si>
  <si>
    <t>18:32</t>
  </si>
  <si>
    <t>INV00435</t>
  </si>
  <si>
    <t>21:41</t>
  </si>
  <si>
    <t>INV00017</t>
  </si>
  <si>
    <t>16:12</t>
  </si>
  <si>
    <t>INV00052</t>
  </si>
  <si>
    <t>15:29</t>
  </si>
  <si>
    <t>INV00323</t>
  </si>
  <si>
    <t>19:14</t>
  </si>
  <si>
    <t>INV00173</t>
  </si>
  <si>
    <t>19:38</t>
  </si>
  <si>
    <t>INV00331</t>
  </si>
  <si>
    <t>13:02</t>
  </si>
  <si>
    <t>INV00416</t>
  </si>
  <si>
    <t>20:38</t>
  </si>
  <si>
    <t>INV00036</t>
  </si>
  <si>
    <t>15:27</t>
  </si>
  <si>
    <t>INV00041</t>
  </si>
  <si>
    <t>14:19</t>
  </si>
  <si>
    <t>INV00156</t>
  </si>
  <si>
    <t>15:00</t>
  </si>
  <si>
    <t>INV00478</t>
  </si>
  <si>
    <t>11:50</t>
  </si>
  <si>
    <t>INV00397</t>
  </si>
  <si>
    <t>17:14</t>
  </si>
  <si>
    <t>INV00413</t>
  </si>
  <si>
    <t>09:16</t>
  </si>
  <si>
    <t>INV00151</t>
  </si>
  <si>
    <t>14:21</t>
  </si>
  <si>
    <t>INV00457</t>
  </si>
  <si>
    <t>15:23</t>
  </si>
  <si>
    <t>INV00020</t>
  </si>
  <si>
    <t>16:08</t>
  </si>
  <si>
    <t>INV00237</t>
  </si>
  <si>
    <t>11:01</t>
  </si>
  <si>
    <t>INV00066</t>
  </si>
  <si>
    <t>14:28</t>
  </si>
  <si>
    <t>INV00187</t>
  </si>
  <si>
    <t>10:42</t>
  </si>
  <si>
    <t>INV00280</t>
  </si>
  <si>
    <t>INV00297</t>
  </si>
  <si>
    <t>16:45</t>
  </si>
  <si>
    <t>INV00375</t>
  </si>
  <si>
    <t>19:45</t>
  </si>
  <si>
    <t>INV00399</t>
  </si>
  <si>
    <t>14:16</t>
  </si>
  <si>
    <t>INV00469</t>
  </si>
  <si>
    <t>15:33</t>
  </si>
  <si>
    <t>INV00258</t>
  </si>
  <si>
    <t>09:15</t>
  </si>
  <si>
    <t>INV00342</t>
  </si>
  <si>
    <t>14:06</t>
  </si>
  <si>
    <t>INV00030</t>
  </si>
  <si>
    <t>17:30</t>
  </si>
  <si>
    <t>INV00380</t>
  </si>
  <si>
    <t>20:45</t>
  </si>
  <si>
    <t>INV00037</t>
  </si>
  <si>
    <t>18:54</t>
  </si>
  <si>
    <t>INV00476</t>
  </si>
  <si>
    <t>09:36</t>
  </si>
  <si>
    <t>INV00217</t>
  </si>
  <si>
    <t>10:00</t>
  </si>
  <si>
    <t>INV00385</t>
  </si>
  <si>
    <t>14:29</t>
  </si>
  <si>
    <t>INV00302</t>
  </si>
  <si>
    <t>17:59</t>
  </si>
  <si>
    <t>INV00152</t>
  </si>
  <si>
    <t>14:33</t>
  </si>
  <si>
    <t>INV00293</t>
  </si>
  <si>
    <t>17:36</t>
  </si>
  <si>
    <t>member</t>
  </si>
  <si>
    <t>INV00335</t>
  </si>
  <si>
    <t>09:11</t>
  </si>
  <si>
    <t>INV00132</t>
  </si>
  <si>
    <t>14:34</t>
  </si>
  <si>
    <t>INV00247</t>
  </si>
  <si>
    <t>21:32</t>
  </si>
  <si>
    <t>INV00371</t>
  </si>
  <si>
    <t>21:22</t>
  </si>
  <si>
    <t>INV00393</t>
  </si>
  <si>
    <t>INV00412</t>
  </si>
  <si>
    <t>18:57</t>
  </si>
  <si>
    <t>INV00241</t>
  </si>
  <si>
    <t>INV00194</t>
  </si>
  <si>
    <t>12:23</t>
  </si>
  <si>
    <t>INV00243</t>
  </si>
  <si>
    <t>09:53</t>
  </si>
  <si>
    <t>INV00283</t>
  </si>
  <si>
    <t>19:27</t>
  </si>
  <si>
    <t>INV00357</t>
  </si>
  <si>
    <t>21:19</t>
  </si>
  <si>
    <t>INV00353</t>
  </si>
  <si>
    <t>19:25</t>
  </si>
  <si>
    <t>INV00048</t>
  </si>
  <si>
    <t>15:34</t>
  </si>
  <si>
    <t>INV00278</t>
  </si>
  <si>
    <t>09:09</t>
  </si>
  <si>
    <t>INV00421</t>
  </si>
  <si>
    <t>INV00177</t>
  </si>
  <si>
    <t>14:50</t>
  </si>
  <si>
    <t>INV00260</t>
  </si>
  <si>
    <t>15:15</t>
  </si>
  <si>
    <t>INV00115</t>
  </si>
  <si>
    <t>21:31</t>
  </si>
  <si>
    <t>INV00257</t>
  </si>
  <si>
    <t>15:57</t>
  </si>
  <si>
    <t>INV00065</t>
  </si>
  <si>
    <t>10:22</t>
  </si>
  <si>
    <t>INV00473</t>
  </si>
  <si>
    <t>15:39</t>
  </si>
  <si>
    <t>INV00008</t>
  </si>
  <si>
    <t>18:44</t>
  </si>
  <si>
    <t>INV00197</t>
  </si>
  <si>
    <t>14:48</t>
  </si>
  <si>
    <t>INV00199</t>
  </si>
  <si>
    <t>15:18</t>
  </si>
  <si>
    <t>INV00343</t>
  </si>
  <si>
    <t>12:15</t>
  </si>
  <si>
    <t>INV00455</t>
  </si>
  <si>
    <t>16:05</t>
  </si>
  <si>
    <t>INV00487</t>
  </si>
  <si>
    <t>18:25</t>
  </si>
  <si>
    <t>INV00155</t>
  </si>
  <si>
    <t>09:17</t>
  </si>
  <si>
    <t>INV00415</t>
  </si>
  <si>
    <t>11:00</t>
  </si>
  <si>
    <t>INV00419</t>
  </si>
  <si>
    <t>18:20</t>
  </si>
  <si>
    <t>INV00087</t>
  </si>
  <si>
    <t>16:06</t>
  </si>
  <si>
    <t>INV00284</t>
  </si>
  <si>
    <t>09:45</t>
  </si>
  <si>
    <t>INV00310</t>
  </si>
  <si>
    <t>15:28</t>
  </si>
  <si>
    <t>INV00174</t>
  </si>
  <si>
    <t>INV00191</t>
  </si>
  <si>
    <t>20:41</t>
  </si>
  <si>
    <t>INV00196</t>
  </si>
  <si>
    <t>16:00</t>
  </si>
  <si>
    <t>INV00332</t>
  </si>
  <si>
    <t>10:32</t>
  </si>
  <si>
    <t>INV00364</t>
  </si>
  <si>
    <t>INV00400</t>
  </si>
  <si>
    <t>INV00023</t>
  </si>
  <si>
    <t>16:59</t>
  </si>
  <si>
    <t>INV00195</t>
  </si>
  <si>
    <t>19:37</t>
  </si>
  <si>
    <t>INV00224</t>
  </si>
  <si>
    <t>20:58</t>
  </si>
  <si>
    <t>INV00238</t>
  </si>
  <si>
    <t>18:49</t>
  </si>
  <si>
    <t>INV00330</t>
  </si>
  <si>
    <t>10:31</t>
  </si>
  <si>
    <t>INV00461</t>
  </si>
  <si>
    <t>INV00275</t>
  </si>
  <si>
    <t>18:33</t>
  </si>
  <si>
    <t>INV00277</t>
  </si>
  <si>
    <t>20:16</t>
  </si>
  <si>
    <t>INV00309</t>
  </si>
  <si>
    <t>13:17</t>
  </si>
  <si>
    <t>INV00164</t>
  </si>
  <si>
    <t>15:35</t>
  </si>
  <si>
    <t>INV00181</t>
  </si>
  <si>
    <t>INV00387</t>
  </si>
  <si>
    <t>INV00131</t>
  </si>
  <si>
    <t>13:52</t>
  </si>
  <si>
    <t>INV00185</t>
  </si>
  <si>
    <t>09:03</t>
  </si>
  <si>
    <t>INV00347</t>
  </si>
  <si>
    <t>14:15</t>
  </si>
  <si>
    <t>INV00350</t>
  </si>
  <si>
    <t>INV00069</t>
  </si>
  <si>
    <t>16:10</t>
  </si>
  <si>
    <t>INV00061</t>
  </si>
  <si>
    <t>15:26</t>
  </si>
  <si>
    <t>INV00189</t>
  </si>
  <si>
    <t>18:13</t>
  </si>
  <si>
    <t>INV00334</t>
  </si>
  <si>
    <t>09:43</t>
  </si>
  <si>
    <t>INV00358</t>
  </si>
  <si>
    <t>INV00367</t>
  </si>
  <si>
    <t>13:27</t>
  </si>
  <si>
    <t>INV00402</t>
  </si>
  <si>
    <t>17:10</t>
  </si>
  <si>
    <t>INV00378</t>
  </si>
  <si>
    <t>10:35</t>
  </si>
  <si>
    <t>INV00433</t>
  </si>
  <si>
    <t>13:19</t>
  </si>
  <si>
    <t>INV00485</t>
  </si>
  <si>
    <t>12:48</t>
  </si>
  <si>
    <t>INV00219</t>
  </si>
  <si>
    <t>21:05</t>
  </si>
  <si>
    <t>INV00445</t>
  </si>
  <si>
    <t>14:37</t>
  </si>
  <si>
    <t>INV00467</t>
  </si>
  <si>
    <t>INV00054</t>
  </si>
  <si>
    <t>17:15</t>
  </si>
  <si>
    <t>INV00060</t>
  </si>
  <si>
    <t>21:12</t>
  </si>
  <si>
    <t>INV00062</t>
  </si>
  <si>
    <t>INV00396</t>
  </si>
  <si>
    <t>13:36</t>
  </si>
  <si>
    <t>INV00374</t>
  </si>
  <si>
    <t>12:19</t>
  </si>
  <si>
    <t>INV00388</t>
  </si>
  <si>
    <t>INV00390</t>
  </si>
  <si>
    <t>13:42</t>
  </si>
  <si>
    <t>INV00166</t>
  </si>
  <si>
    <t>INV00245</t>
  </si>
  <si>
    <t>14:18</t>
  </si>
  <si>
    <t>INV00313</t>
  </si>
  <si>
    <t>INV00406</t>
  </si>
  <si>
    <t>15:13</t>
  </si>
  <si>
    <t>INV00121</t>
  </si>
  <si>
    <t>10:17</t>
  </si>
  <si>
    <t>INV00175</t>
  </si>
  <si>
    <t>09:14</t>
  </si>
  <si>
    <t>INV00082</t>
  </si>
  <si>
    <t>21:07</t>
  </si>
  <si>
    <t>INV00268</t>
  </si>
  <si>
    <t>INV00073</t>
  </si>
  <si>
    <t>14:13</t>
  </si>
  <si>
    <t>INV00112</t>
  </si>
  <si>
    <t>21:40</t>
  </si>
  <si>
    <t>INV00134</t>
  </si>
  <si>
    <t>10:57</t>
  </si>
  <si>
    <t>INV00362</t>
  </si>
  <si>
    <t>INV00474</t>
  </si>
  <si>
    <t>09:20</t>
  </si>
  <si>
    <t>INV00120</t>
  </si>
  <si>
    <t>17:28</t>
  </si>
  <si>
    <t>INV00326</t>
  </si>
  <si>
    <t>18:51</t>
  </si>
  <si>
    <t>INV00029</t>
  </si>
  <si>
    <t>13:54</t>
  </si>
  <si>
    <t>INV00325</t>
  </si>
  <si>
    <t>upi</t>
  </si>
  <si>
    <t>INV00425</t>
  </si>
  <si>
    <t>10:05</t>
  </si>
  <si>
    <t>INV00071</t>
  </si>
  <si>
    <t>INV00074</t>
  </si>
  <si>
    <t>11:25</t>
  </si>
  <si>
    <t>INV00404</t>
  </si>
  <si>
    <t>18:23</t>
  </si>
  <si>
    <t>INV00200</t>
  </si>
  <si>
    <t>14:56</t>
  </si>
  <si>
    <t>INV00372</t>
  </si>
  <si>
    <t>09:47</t>
  </si>
  <si>
    <t>INV00463</t>
  </si>
  <si>
    <t>18:26</t>
  </si>
  <si>
    <t>INV00475</t>
  </si>
  <si>
    <t>INV00360</t>
  </si>
  <si>
    <t>19:01</t>
  </si>
  <si>
    <t>INV00049</t>
  </si>
  <si>
    <t>INV00110</t>
  </si>
  <si>
    <t>15:07</t>
  </si>
  <si>
    <t>INV00392</t>
  </si>
  <si>
    <t>15:58</t>
  </si>
  <si>
    <t>INV00494</t>
  </si>
  <si>
    <t>INV00212</t>
  </si>
  <si>
    <t>16:21</t>
  </si>
  <si>
    <t>INV00162</t>
  </si>
  <si>
    <t>09:27</t>
  </si>
  <si>
    <t>INV00172</t>
  </si>
  <si>
    <t>INV00250</t>
  </si>
  <si>
    <t>15:14</t>
  </si>
  <si>
    <t>INV00276</t>
  </si>
  <si>
    <t>INV00287</t>
  </si>
  <si>
    <t>12:49</t>
  </si>
  <si>
    <t>INV00223</t>
  </si>
  <si>
    <t>13:15</t>
  </si>
  <si>
    <t>INV00398</t>
  </si>
  <si>
    <t>11:28</t>
  </si>
  <si>
    <t>INV00119</t>
  </si>
  <si>
    <t>20:13</t>
  </si>
  <si>
    <t>INV00205</t>
  </si>
  <si>
    <t>21:50</t>
  </si>
  <si>
    <t>INV00215</t>
  </si>
  <si>
    <t>17:43</t>
  </si>
  <si>
    <t>INV00281</t>
  </si>
  <si>
    <t>20:55</t>
  </si>
  <si>
    <t>INV00286</t>
  </si>
  <si>
    <t>18:01</t>
  </si>
  <si>
    <t>INV00356</t>
  </si>
  <si>
    <t>18:56</t>
  </si>
  <si>
    <t>INV00379</t>
  </si>
  <si>
    <t>11:33</t>
  </si>
  <si>
    <t>INV00431</t>
  </si>
  <si>
    <t>INV00092</t>
  </si>
  <si>
    <t>INV00097</t>
  </si>
  <si>
    <t>19:16</t>
  </si>
  <si>
    <t>INV00405</t>
  </si>
  <si>
    <t>21:34</t>
  </si>
  <si>
    <t>INV00424</t>
  </si>
  <si>
    <t>INV00081</t>
  </si>
  <si>
    <t>21:00</t>
  </si>
  <si>
    <t>INV00274</t>
  </si>
  <si>
    <t>18:06</t>
  </si>
  <si>
    <t>INV00296</t>
  </si>
  <si>
    <t>21:23</t>
  </si>
  <si>
    <t>INV00141</t>
  </si>
  <si>
    <t>INV00304</t>
  </si>
  <si>
    <t>12:16</t>
  </si>
  <si>
    <t>INV00024</t>
  </si>
  <si>
    <t>15:38</t>
  </si>
  <si>
    <t>INV00227</t>
  </si>
  <si>
    <t>20:00</t>
  </si>
  <si>
    <t>INV00113</t>
  </si>
  <si>
    <t>10:23</t>
  </si>
  <si>
    <t>INV00157</t>
  </si>
  <si>
    <t>09:00</t>
  </si>
  <si>
    <t>INV00180</t>
  </si>
  <si>
    <t>11:06</t>
  </si>
  <si>
    <t>INV00472</t>
  </si>
  <si>
    <t>21:30</t>
  </si>
  <si>
    <t>INV00019</t>
  </si>
  <si>
    <t>18:59</t>
  </si>
  <si>
    <t>INV00116</t>
  </si>
  <si>
    <t>INV00161</t>
  </si>
  <si>
    <t>19:31</t>
  </si>
  <si>
    <t>INV00319</t>
  </si>
  <si>
    <t>19:19</t>
  </si>
  <si>
    <t>INV00432</t>
  </si>
  <si>
    <t>INV00468</t>
  </si>
  <si>
    <t>INV00486</t>
  </si>
  <si>
    <t>INV00321</t>
  </si>
  <si>
    <t>19:43</t>
  </si>
  <si>
    <t>INV00333</t>
  </si>
  <si>
    <t>18:18</t>
  </si>
  <si>
    <t>INV00442</t>
  </si>
  <si>
    <t>INV00058</t>
  </si>
  <si>
    <t>12:18</t>
  </si>
  <si>
    <t>INV00126</t>
  </si>
  <si>
    <t>16:26</t>
  </si>
  <si>
    <t>INV00327</t>
  </si>
  <si>
    <t>18:24</t>
  </si>
  <si>
    <t>INV00456</t>
  </si>
  <si>
    <t>13:56</t>
  </si>
  <si>
    <t>INV00163</t>
  </si>
  <si>
    <t>18:40</t>
  </si>
  <si>
    <t>INV00003</t>
  </si>
  <si>
    <t>15:04</t>
  </si>
  <si>
    <t>INV00043</t>
  </si>
  <si>
    <t>14:58</t>
  </si>
  <si>
    <t>INV00183</t>
  </si>
  <si>
    <t>INV00497</t>
  </si>
  <si>
    <t>16:33</t>
  </si>
  <si>
    <t>INV00064</t>
  </si>
  <si>
    <t>14:23</t>
  </si>
  <si>
    <t>INV00127</t>
  </si>
  <si>
    <t>14:01</t>
  </si>
  <si>
    <t>INV00230</t>
  </si>
  <si>
    <t>INV00354</t>
  </si>
  <si>
    <t>INV00389</t>
  </si>
  <si>
    <t>12:26</t>
  </si>
  <si>
    <t>INV00414</t>
  </si>
  <si>
    <t>11:30</t>
  </si>
  <si>
    <t>INV00417</t>
  </si>
  <si>
    <t>12:41</t>
  </si>
  <si>
    <t>INV00470</t>
  </si>
  <si>
    <t>17:51</t>
  </si>
  <si>
    <t>INV00102</t>
  </si>
  <si>
    <t>INV00384</t>
  </si>
  <si>
    <t>12:58</t>
  </si>
  <si>
    <t>INV00178</t>
  </si>
  <si>
    <t>INV00188</t>
  </si>
  <si>
    <t>21:20</t>
  </si>
  <si>
    <t>INV00262</t>
  </si>
  <si>
    <t>11:14</t>
  </si>
  <si>
    <t>INV00085</t>
  </si>
  <si>
    <t>19:02</t>
  </si>
  <si>
    <t>INV00251</t>
  </si>
  <si>
    <t>20:26</t>
  </si>
  <si>
    <t>INV00391</t>
  </si>
  <si>
    <t>13:47</t>
  </si>
  <si>
    <t>INV00495</t>
  </si>
  <si>
    <t>INV00171</t>
  </si>
  <si>
    <t>14:12</t>
  </si>
  <si>
    <t>INV00236</t>
  </si>
  <si>
    <t>15:31</t>
  </si>
  <si>
    <t>INV00135</t>
  </si>
  <si>
    <t>09:42</t>
  </si>
  <si>
    <t>INV00420</t>
  </si>
  <si>
    <t>INV00500</t>
  </si>
  <si>
    <t>17:47</t>
  </si>
  <si>
    <t>INV00133</t>
  </si>
  <si>
    <t>INV00446</t>
  </si>
  <si>
    <t>14:43</t>
  </si>
  <si>
    <t>INV00002</t>
  </si>
  <si>
    <t>12:04</t>
  </si>
  <si>
    <t>INV00407</t>
  </si>
  <si>
    <t>INV00025</t>
  </si>
  <si>
    <t>16:38</t>
  </si>
  <si>
    <t>INV00072</t>
  </si>
  <si>
    <t>11:10</t>
  </si>
  <si>
    <t>INV00240</t>
  </si>
  <si>
    <t>13:11</t>
  </si>
  <si>
    <t>INV00366</t>
  </si>
  <si>
    <t>20:25</t>
  </si>
  <si>
    <t>INV00429</t>
  </si>
  <si>
    <t>10:07</t>
  </si>
  <si>
    <t>INV00465</t>
  </si>
  <si>
    <t>INV00176</t>
  </si>
  <si>
    <t>INV00290</t>
  </si>
  <si>
    <t>20:21</t>
  </si>
  <si>
    <t>INV00317</t>
  </si>
  <si>
    <t>09:28</t>
  </si>
  <si>
    <t>INV00449</t>
  </si>
  <si>
    <t>18:05</t>
  </si>
  <si>
    <t>INV00458</t>
  </si>
  <si>
    <t>09:58</t>
  </si>
  <si>
    <t>INV00273</t>
  </si>
  <si>
    <t>14:38</t>
  </si>
  <si>
    <t>INV00403</t>
  </si>
  <si>
    <t>14:07</t>
  </si>
  <si>
    <t>INV00086</t>
  </si>
  <si>
    <t>14:44</t>
  </si>
  <si>
    <t>INV00370</t>
  </si>
  <si>
    <t>17:22</t>
  </si>
  <si>
    <t>INV00146</t>
  </si>
  <si>
    <t>13:39</t>
  </si>
  <si>
    <t>INV00336</t>
  </si>
  <si>
    <t>09:55</t>
  </si>
  <si>
    <t>INV00306</t>
  </si>
  <si>
    <t>10:47</t>
  </si>
  <si>
    <t>INV00355</t>
  </si>
  <si>
    <t>15:32</t>
  </si>
  <si>
    <t>INV00361</t>
  </si>
  <si>
    <t>20:29</t>
  </si>
  <si>
    <t>INV00373</t>
  </si>
  <si>
    <t>20:01</t>
  </si>
  <si>
    <t>INV00450</t>
  </si>
  <si>
    <t>09:50</t>
  </si>
  <si>
    <t>INV00015</t>
  </si>
  <si>
    <t>INV00068</t>
  </si>
  <si>
    <t>INV00204</t>
  </si>
  <si>
    <t>INV00427</t>
  </si>
  <si>
    <t>19:56</t>
  </si>
  <si>
    <t>INV00351</t>
  </si>
  <si>
    <t>INV00439</t>
  </si>
  <si>
    <t>13:43</t>
  </si>
  <si>
    <t>INV00222</t>
  </si>
  <si>
    <t>INV00261</t>
  </si>
  <si>
    <t>21:25</t>
  </si>
  <si>
    <t>INV00324</t>
  </si>
  <si>
    <t>20:36</t>
  </si>
  <si>
    <t>INV00496</t>
  </si>
  <si>
    <t>INV00083</t>
  </si>
  <si>
    <t>16:53</t>
  </si>
  <si>
    <t>INV00248</t>
  </si>
  <si>
    <t>15:22</t>
  </si>
  <si>
    <t>INV00026</t>
  </si>
  <si>
    <t>INV00137</t>
  </si>
  <si>
    <t>INV00027</t>
  </si>
  <si>
    <t>21:13</t>
  </si>
  <si>
    <t>INV00160</t>
  </si>
  <si>
    <t>19:42</t>
  </si>
  <si>
    <t>INV00045</t>
  </si>
  <si>
    <t>16:40</t>
  </si>
  <si>
    <t>INV00363</t>
  </si>
  <si>
    <t>18:43</t>
  </si>
  <si>
    <t>INV00147</t>
  </si>
  <si>
    <t>17:04</t>
  </si>
  <si>
    <t>INV00249</t>
  </si>
  <si>
    <t>18:12</t>
  </si>
  <si>
    <t>INV00089</t>
  </si>
  <si>
    <t>19:15</t>
  </si>
  <si>
    <t>INV00109</t>
  </si>
  <si>
    <t>INV00460</t>
  </si>
  <si>
    <t>20:56</t>
  </si>
  <si>
    <t>INV00339</t>
  </si>
  <si>
    <t>18:34</t>
  </si>
  <si>
    <t>INV00226</t>
  </si>
  <si>
    <t>16:25</t>
  </si>
  <si>
    <t>INV00034</t>
  </si>
  <si>
    <t>10:24</t>
  </si>
  <si>
    <t>INV00107</t>
  </si>
  <si>
    <t>10:14</t>
  </si>
  <si>
    <t>INV00106</t>
  </si>
  <si>
    <t>INV00084</t>
  </si>
  <si>
    <t>12:34</t>
  </si>
  <si>
    <t>INV00136</t>
  </si>
  <si>
    <t>INV00329</t>
  </si>
  <si>
    <t>20:48</t>
  </si>
  <si>
    <t>INV00381</t>
  </si>
  <si>
    <t>INV00422</t>
  </si>
  <si>
    <t>13:18</t>
  </si>
  <si>
    <t>INV00492</t>
  </si>
  <si>
    <t>10:36</t>
  </si>
  <si>
    <t>INV00202</t>
  </si>
  <si>
    <t>11:29</t>
  </si>
  <si>
    <t>INV00225</t>
  </si>
  <si>
    <t>21:53</t>
  </si>
  <si>
    <t>INV00409</t>
  </si>
  <si>
    <t>INV00076</t>
  </si>
  <si>
    <t>INV00128</t>
  </si>
  <si>
    <t>INV00383</t>
  </si>
  <si>
    <t>INV00004</t>
  </si>
  <si>
    <t>INV00103</t>
  </si>
  <si>
    <t>09:59</t>
  </si>
  <si>
    <t>INV00229</t>
  </si>
  <si>
    <t>INV00232</t>
  </si>
  <si>
    <t>INV00303</t>
  </si>
  <si>
    <t>INV00359</t>
  </si>
  <si>
    <t>12:25</t>
  </si>
  <si>
    <t>INV00098</t>
  </si>
  <si>
    <t>11:47</t>
  </si>
  <si>
    <t>INV00125</t>
  </si>
  <si>
    <t>INV00207</t>
  </si>
  <si>
    <t>INV00298</t>
  </si>
  <si>
    <t>16:32</t>
  </si>
  <si>
    <t>INV00376</t>
  </si>
  <si>
    <t>11:54</t>
  </si>
  <si>
    <t>INV00145</t>
  </si>
  <si>
    <t>11:40</t>
  </si>
  <si>
    <t>INV00269</t>
  </si>
  <si>
    <t>INV00341</t>
  </si>
  <si>
    <t>12:52</t>
  </si>
  <si>
    <t>INV00418</t>
  </si>
  <si>
    <t>21:33</t>
  </si>
  <si>
    <t>INV00440</t>
  </si>
  <si>
    <t>10:29</t>
  </si>
  <si>
    <t>INV00038</t>
  </si>
  <si>
    <t>14:02</t>
  </si>
  <si>
    <t>INV00182</t>
  </si>
  <si>
    <t>INV00282</t>
  </si>
  <si>
    <t>17:31</t>
  </si>
  <si>
    <t>INV00040</t>
  </si>
  <si>
    <t>10:10</t>
  </si>
  <si>
    <t>INV00266</t>
  </si>
  <si>
    <t>INV00386</t>
  </si>
  <si>
    <t>13:50</t>
  </si>
  <si>
    <t>INV00142</t>
  </si>
  <si>
    <t>15:24</t>
  </si>
  <si>
    <t>INV00322</t>
  </si>
  <si>
    <t>17:12</t>
  </si>
  <si>
    <t>INV00401</t>
  </si>
  <si>
    <t>16:20</t>
  </si>
  <si>
    <t>INV00441</t>
  </si>
  <si>
    <t>15:19</t>
  </si>
  <si>
    <t>INV00010</t>
  </si>
  <si>
    <t>17:07</t>
  </si>
  <si>
    <t>INV00018</t>
  </si>
  <si>
    <t>INV00140</t>
  </si>
  <si>
    <t>INV00184</t>
  </si>
  <si>
    <t>14:57</t>
  </si>
  <si>
    <t>INV00246</t>
  </si>
  <si>
    <t>INV00382</t>
  </si>
  <si>
    <t>12:21</t>
  </si>
  <si>
    <t>INV00095</t>
  </si>
  <si>
    <t>INV00320</t>
  </si>
  <si>
    <t>16:55</t>
  </si>
  <si>
    <t>INV00055</t>
  </si>
  <si>
    <t>14:39</t>
  </si>
  <si>
    <t>INV00099</t>
  </si>
  <si>
    <t>INV00454</t>
  </si>
  <si>
    <t>INV00288</t>
  </si>
  <si>
    <t>15:12</t>
  </si>
  <si>
    <t>INV00311</t>
  </si>
  <si>
    <t>16:09</t>
  </si>
  <si>
    <t>INV00345</t>
  </si>
  <si>
    <t>09:48</t>
  </si>
  <si>
    <t>INV00464</t>
  </si>
  <si>
    <t>18:45</t>
  </si>
  <si>
    <t>INV00214</t>
  </si>
  <si>
    <t>INV00307</t>
  </si>
  <si>
    <t>16:57</t>
  </si>
  <si>
    <t>INV00130</t>
  </si>
  <si>
    <t>INV00244</t>
  </si>
  <si>
    <t>13:57</t>
  </si>
  <si>
    <t>INV00059</t>
  </si>
  <si>
    <t>INV00108</t>
  </si>
  <si>
    <t>14:26</t>
  </si>
  <si>
    <t>INV00144</t>
  </si>
  <si>
    <t>INV00031</t>
  </si>
  <si>
    <t>10:19</t>
  </si>
  <si>
    <t>INV00111</t>
  </si>
  <si>
    <t>11:46</t>
  </si>
  <si>
    <t>INV00154</t>
  </si>
  <si>
    <t>INV00315</t>
  </si>
  <si>
    <t>21:17</t>
  </si>
  <si>
    <t>INV00221</t>
  </si>
  <si>
    <t>INV00242</t>
  </si>
  <si>
    <t>17:19</t>
  </si>
  <si>
    <t>INV00314</t>
  </si>
  <si>
    <t>12:36</t>
  </si>
  <si>
    <t>INV00340</t>
  </si>
  <si>
    <t>16:51</t>
  </si>
  <si>
    <t>INV00484</t>
  </si>
  <si>
    <t>18:22</t>
  </si>
  <si>
    <t>INV00012</t>
  </si>
  <si>
    <t>17:29</t>
  </si>
  <si>
    <t>INV00091</t>
  </si>
  <si>
    <t>20:22</t>
  </si>
  <si>
    <t>INV00235</t>
  </si>
  <si>
    <t>INV00436</t>
  </si>
  <si>
    <t>INV00491</t>
  </si>
  <si>
    <t>INV00430</t>
  </si>
  <si>
    <t>18:10</t>
  </si>
  <si>
    <t>INV00301</t>
  </si>
  <si>
    <t>INV00124</t>
  </si>
  <si>
    <t>21:24</t>
  </si>
  <si>
    <t>INV00410</t>
  </si>
  <si>
    <t>15:45</t>
  </si>
  <si>
    <t>INV00186</t>
  </si>
  <si>
    <t>09:51</t>
  </si>
  <si>
    <t>INV00192</t>
  </si>
  <si>
    <t>11:55</t>
  </si>
  <si>
    <t>INV00118</t>
  </si>
  <si>
    <t>INV00148</t>
  </si>
  <si>
    <t>INV00150</t>
  </si>
  <si>
    <t>19:35</t>
  </si>
  <si>
    <t>INV00231</t>
  </si>
  <si>
    <t>15:06</t>
  </si>
  <si>
    <t>INV00271</t>
  </si>
  <si>
    <t>09:13</t>
  </si>
  <si>
    <t>INV00056</t>
  </si>
  <si>
    <t>11:07</t>
  </si>
  <si>
    <t>INV00159</t>
  </si>
  <si>
    <t>INV00067</t>
  </si>
  <si>
    <t>17:54</t>
  </si>
  <si>
    <t>INV00213</t>
  </si>
  <si>
    <t>INV00011</t>
  </si>
  <si>
    <t>INV00078</t>
  </si>
  <si>
    <t>11:19</t>
  </si>
  <si>
    <t>INV00279</t>
  </si>
  <si>
    <t>INV00047</t>
  </si>
  <si>
    <t>INV00289</t>
  </si>
  <si>
    <t>INV00285</t>
  </si>
  <si>
    <t>19:49</t>
  </si>
  <si>
    <t>INV00168</t>
  </si>
  <si>
    <t>INV00368</t>
  </si>
  <si>
    <t>12:39</t>
  </si>
  <si>
    <t>INV00211</t>
  </si>
  <si>
    <t>INV00264</t>
  </si>
  <si>
    <t>INV00220</t>
  </si>
  <si>
    <t>13:00</t>
  </si>
  <si>
    <t>INV00498</t>
  </si>
  <si>
    <t>INV00104</t>
  </si>
  <si>
    <t>INV00117</t>
  </si>
  <si>
    <t>INV00377</t>
  </si>
  <si>
    <t>20:39</t>
  </si>
  <si>
    <t>INV00016</t>
  </si>
  <si>
    <t>21:35</t>
  </si>
  <si>
    <t>INV00451</t>
  </si>
  <si>
    <t>10:37</t>
  </si>
  <si>
    <t>INV00254</t>
  </si>
  <si>
    <t>INV00305</t>
  </si>
  <si>
    <t>09:52</t>
  </si>
  <si>
    <t>INV00346</t>
  </si>
  <si>
    <t>17:09</t>
  </si>
  <si>
    <t>INV00149</t>
  </si>
  <si>
    <t>10:08</t>
  </si>
  <si>
    <t>INV00122</t>
  </si>
  <si>
    <t>INV00299</t>
  </si>
  <si>
    <t>INV00216</t>
  </si>
  <si>
    <t>10:34</t>
  </si>
  <si>
    <t>INV00005</t>
  </si>
  <si>
    <t>10:46</t>
  </si>
  <si>
    <t>INV00039</t>
  </si>
  <si>
    <t>INV00139</t>
  </si>
  <si>
    <t>13:38</t>
  </si>
  <si>
    <t>INV00255</t>
  </si>
  <si>
    <t>INV00312</t>
  </si>
  <si>
    <t>INV00448</t>
  </si>
  <si>
    <t>INV00009</t>
  </si>
  <si>
    <t>18:30</t>
  </si>
  <si>
    <t>INV00051</t>
  </si>
  <si>
    <t>14:35</t>
  </si>
  <si>
    <t>INV00488</t>
  </si>
  <si>
    <t>12:32</t>
  </si>
  <si>
    <t>INV00138</t>
  </si>
  <si>
    <t>10:03</t>
  </si>
  <si>
    <t>INV00153</t>
  </si>
  <si>
    <t>INV00253</t>
  </si>
  <si>
    <t>12:44</t>
  </si>
  <si>
    <t>INV00256</t>
  </si>
  <si>
    <t>21:01</t>
  </si>
  <si>
    <t>INV00369</t>
  </si>
  <si>
    <t>INV00426</t>
  </si>
  <si>
    <t>INV00459</t>
  </si>
  <si>
    <t>10:55</t>
  </si>
  <si>
    <t>INV00201</t>
  </si>
  <si>
    <t>15:59</t>
  </si>
  <si>
    <t>INV00259</t>
  </si>
  <si>
    <t>15:37</t>
  </si>
  <si>
    <t>INV00444</t>
  </si>
  <si>
    <t>09:25</t>
  </si>
  <si>
    <t>INV00447</t>
  </si>
  <si>
    <t>INV00328</t>
  </si>
  <si>
    <t>INV00438</t>
  </si>
  <si>
    <t>13:21</t>
  </si>
  <si>
    <t>INV00079</t>
  </si>
  <si>
    <t>INV00206</t>
  </si>
  <si>
    <t>17:41</t>
  </si>
  <si>
    <t>INV00096</t>
  </si>
  <si>
    <t>13:40</t>
  </si>
  <si>
    <t>INV00267</t>
  </si>
  <si>
    <t>15:02</t>
  </si>
  <si>
    <t>INV00292</t>
  </si>
  <si>
    <t>19:09</t>
  </si>
  <si>
    <t>INV00252</t>
  </si>
  <si>
    <t>INV00349</t>
  </si>
  <si>
    <t>21:38</t>
  </si>
  <si>
    <t>INV00042</t>
  </si>
  <si>
    <t>INV00300</t>
  </si>
  <si>
    <t>INV00352</t>
  </si>
  <si>
    <t>INV00480</t>
  </si>
  <si>
    <t>INV00090</t>
  </si>
  <si>
    <t>INV00210</t>
  </si>
  <si>
    <t>INV00365</t>
  </si>
  <si>
    <t>INV00443</t>
  </si>
  <si>
    <t>INV00477</t>
  </si>
  <si>
    <t>INV00105</t>
  </si>
  <si>
    <t>15:17</t>
  </si>
  <si>
    <t>INV00344</t>
  </si>
  <si>
    <t>INV00462</t>
  </si>
  <si>
    <t>20:47</t>
  </si>
  <si>
    <t>INV00063</t>
  </si>
  <si>
    <t>12:24</t>
  </si>
  <si>
    <t>INV00434</t>
  </si>
  <si>
    <t>16:35</t>
  </si>
  <si>
    <t>Column</t>
  </si>
  <si>
    <t>Data_Type</t>
  </si>
  <si>
    <t>Description</t>
  </si>
  <si>
    <t>Text</t>
  </si>
  <si>
    <t>Unique transaction identifier</t>
  </si>
  <si>
    <t>Transaction date</t>
  </si>
  <si>
    <t>Transaction time</t>
  </si>
  <si>
    <t>Supermarket branch</t>
  </si>
  <si>
    <t>City/location</t>
  </si>
  <si>
    <t>Customer membership type</t>
  </si>
  <si>
    <t>Customer gender</t>
  </si>
  <si>
    <t>Product category</t>
  </si>
  <si>
    <t>Decimal</t>
  </si>
  <si>
    <t>Price per unit</t>
  </si>
  <si>
    <t>Integer</t>
  </si>
  <si>
    <t>Units purchased</t>
  </si>
  <si>
    <t>Tax amount</t>
  </si>
  <si>
    <t>Total transaction sales</t>
  </si>
  <si>
    <t>Cost of goods sold</t>
  </si>
  <si>
    <t>Gross profit</t>
  </si>
  <si>
    <t>Percentage</t>
  </si>
  <si>
    <t>Gross profit as % of sales</t>
  </si>
  <si>
    <t>Payment method</t>
  </si>
  <si>
    <t>Customer rating out of 10</t>
  </si>
  <si>
    <t>Sum of Total_Sales</t>
  </si>
  <si>
    <t>Row Labels</t>
  </si>
  <si>
    <t>Grand Total</t>
  </si>
  <si>
    <t>sales by month</t>
  </si>
  <si>
    <t>January</t>
  </si>
  <si>
    <t>February</t>
  </si>
  <si>
    <t>March</t>
  </si>
  <si>
    <t>April</t>
  </si>
  <si>
    <t>May</t>
  </si>
  <si>
    <t>June</t>
  </si>
  <si>
    <t>July</t>
  </si>
  <si>
    <t>August</t>
  </si>
  <si>
    <t>Sum of Quantity</t>
  </si>
  <si>
    <t>Sum of Gross_Margin_%</t>
  </si>
  <si>
    <t>KPI</t>
  </si>
  <si>
    <t>1)Total Sales</t>
  </si>
  <si>
    <t>2)Total Profit</t>
  </si>
  <si>
    <t>3)Total Trasactions</t>
  </si>
  <si>
    <t>4)Total Quantity Sold</t>
  </si>
  <si>
    <t>5)Average Transaction Value</t>
  </si>
  <si>
    <t>6)Profit Margin</t>
  </si>
  <si>
    <t>(blank)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</si>
</sst>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quot;₹&quot;\ #,##0.00"/>
  </numFmts>
  <fonts count="3" x14ac:knownFonts="1">
    <font>
      <sz val="11"/>
      <color theme="1"/>
      <name val="Calibri"/>
      <family val="2"/>
      <scheme val="minor"/>
    </font>
    <font>
      <b/>
      <sz val="11"/>
      <name val="Calibri"/>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9">
    <xf numFmtId="0" fontId="0" fillId="0" borderId="0" xfId="0"/>
    <xf numFmtId="0" fontId="1" fillId="0" borderId="1" xfId="0" applyFont="1" applyBorder="1" applyAlignment="1">
      <alignment horizontal="center" vertical="top"/>
    </xf>
    <xf numFmtId="14" fontId="0" fillId="0" borderId="0" xfId="0" applyNumberFormat="1"/>
    <xf numFmtId="164" fontId="0" fillId="0" borderId="0" xfId="0" applyNumberFormat="1"/>
    <xf numFmtId="0" fontId="0" fillId="0" borderId="0" xfId="0" pivotButton="1"/>
    <xf numFmtId="0" fontId="0" fillId="0" borderId="0" xfId="0" applyAlignment="1">
      <alignment horizontal="left"/>
    </xf>
    <xf numFmtId="0" fontId="0" fillId="0" borderId="0" xfId="0" applyAlignment="1">
      <alignment horizontal="left" indent="1"/>
    </xf>
    <xf numFmtId="0" fontId="2" fillId="0" borderId="0" xfId="0" applyFont="1"/>
    <xf numFmtId="0" fontId="0" fillId="0" borderId="0" xfId="0" applyNumberFormat="1"/>
  </cellXfs>
  <cellStyles count="1">
    <cellStyle name="Normal" xfId="0" builtinId="0"/>
  </cellStyles>
  <dxfs count="6">
    <dxf>
      <font>
        <b/>
        <color theme="1"/>
      </font>
      <border>
        <bottom style="thin">
          <color theme="5"/>
        </bottom>
        <vertical/>
        <horizontal/>
      </border>
    </dxf>
    <dxf>
      <font>
        <color theme="1"/>
      </font>
      <fill>
        <patternFill>
          <bgColor theme="5" tint="0.39994506668294322"/>
        </patternFill>
      </fill>
      <border>
        <left style="thin">
          <color theme="5"/>
        </left>
        <right style="thin">
          <color theme="5"/>
        </right>
        <top style="thin">
          <color theme="5"/>
        </top>
        <bottom style="thin">
          <color theme="5"/>
        </bottom>
        <vertical/>
        <horizontal/>
      </border>
    </dxf>
    <dxf>
      <font>
        <b/>
        <color theme="1"/>
      </font>
      <border>
        <bottom style="thin">
          <color theme="5"/>
        </bottom>
        <vertical/>
        <horizontal/>
      </border>
    </dxf>
    <dxf>
      <font>
        <color theme="1"/>
      </font>
      <border>
        <left style="thin">
          <color theme="5"/>
        </left>
        <right style="thin">
          <color theme="5"/>
        </right>
        <top style="thin">
          <color theme="5"/>
        </top>
        <bottom style="thin">
          <color theme="5"/>
        </bottom>
        <vertical/>
        <horizontal/>
      </border>
    </dxf>
    <dxf>
      <font>
        <color rgb="FF006100"/>
      </font>
      <fill>
        <patternFill>
          <bgColor rgb="FFC6EFCE"/>
        </patternFill>
      </fill>
    </dxf>
    <dxf>
      <font>
        <color rgb="FF9C0006"/>
      </font>
      <fill>
        <patternFill>
          <bgColor rgb="FFFFC7CE"/>
        </patternFill>
      </fill>
    </dxf>
  </dxfs>
  <tableStyles count="2" defaultTableStyle="TableStyleMedium9" defaultPivotStyle="PivotStyleLight16">
    <tableStyle name="My dashboard Style" pivot="0" table="0" count="10" xr9:uid="{5D595CCC-80F9-4D22-BD8F-D572EA6BBE8F}">
      <tableStyleElement type="wholeTable" dxfId="1"/>
      <tableStyleElement type="headerRow" dxfId="0"/>
    </tableStyle>
    <tableStyle name="SlicerStyleLight2 2" pivot="0" table="0" count="10" xr9:uid="{22E7EA69-A0C8-41E9-8648-D75D62719928}">
      <tableStyleElement type="wholeTable" dxfId="3"/>
      <tableStyleElement type="headerRow" dxfId="2"/>
    </tableStyle>
  </tableStyles>
  <extLst>
    <ext xmlns:x14="http://schemas.microsoft.com/office/spreadsheetml/2009/9/main" uri="{46F421CA-312F-682f-3DD2-61675219B42D}">
      <x14:dxfs count="16">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5" tint="0.79998168889431442"/>
              <bgColor theme="5"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5" tint="0.59999389629810485"/>
              <bgColor theme="5"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5" tint="0.79998168889431442"/>
              <bgColor theme="5"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5" tint="0.59999389629810485"/>
              <bgColor theme="5"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My dashboard Style">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 name="SlicerStyleLight2 2">
          <x14:slicerStyleElements>
            <x14:slicerStyleElement type="unselectedItemWithData" dxfId="15"/>
            <x14:slicerStyleElement type="unselectedItemWithNoData" dxfId="14"/>
            <x14:slicerStyleElement type="selectedItemWithData" dxfId="13"/>
            <x14:slicerStyleElement type="selectedItemWithNoData" dxfId="12"/>
            <x14:slicerStyleElement type="hoveredUnselectedItemWithData" dxfId="11"/>
            <x14:slicerStyleElement type="hoveredSelectedItemWithData" dxfId="10"/>
            <x14:slicerStyleElement type="hoveredUnselectedItemWithNoData" dxfId="9"/>
            <x14:slicerStyleElement type="hoveredSelectedItemWithNoData" dxfId="8"/>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microsoft.com/office/2007/relationships/slicerCache" Target="slicerCaches/slicerCache6.xml"/><Relationship Id="rId3" Type="http://schemas.openxmlformats.org/officeDocument/2006/relationships/worksheet" Target="worksheets/sheet3.xml"/><Relationship Id="rId7" Type="http://schemas.openxmlformats.org/officeDocument/2006/relationships/pivotCacheDefinition" Target="pivotCache/pivotCacheDefinition2.xml"/><Relationship Id="rId12" Type="http://schemas.microsoft.com/office/2007/relationships/slicerCache" Target="slicerCaches/slicerCache5.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microsoft.com/office/2007/relationships/slicerCache" Target="slicerCaches/slicerCache4.xml"/><Relationship Id="rId5" Type="http://schemas.openxmlformats.org/officeDocument/2006/relationships/worksheet" Target="worksheets/sheet5.xml"/><Relationship Id="rId15" Type="http://schemas.openxmlformats.org/officeDocument/2006/relationships/styles" Target="styles.xml"/><Relationship Id="rId10" Type="http://schemas.microsoft.com/office/2007/relationships/slicerCache" Target="slicerCaches/slicerCache3.xml"/><Relationship Id="rId4" Type="http://schemas.openxmlformats.org/officeDocument/2006/relationships/worksheet" Target="worksheets/sheet4.xml"/><Relationship Id="rId9" Type="http://schemas.microsoft.com/office/2007/relationships/slicerCache" Target="slicerCaches/slicerCache2.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[Supermarket_Sales_and _performance.xlsx]pivot_tables!PivotTable4</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pivot_tables!$Z$12</c:f>
              <c:strCache>
                <c:ptCount val="1"/>
                <c:pt idx="0">
                  <c:v>Total</c:v>
                </c:pt>
              </c:strCache>
            </c:strRef>
          </c:tx>
          <c:spPr>
            <a:ln w="28575" cap="rnd">
              <a:solidFill>
                <a:schemeClr val="accent1"/>
              </a:solidFill>
              <a:round/>
            </a:ln>
            <a:effectLst/>
          </c:spPr>
          <c:marker>
            <c:symbol val="none"/>
          </c:marker>
          <c:cat>
            <c:strRef>
              <c:f>pivot_tables!$Y$13:$Y$22</c:f>
              <c:strCache>
                <c:ptCount val="9"/>
                <c:pt idx="0">
                  <c:v>January</c:v>
                </c:pt>
                <c:pt idx="1">
                  <c:v>February</c:v>
                </c:pt>
                <c:pt idx="2">
                  <c:v>March</c:v>
                </c:pt>
                <c:pt idx="3">
                  <c:v>April</c:v>
                </c:pt>
                <c:pt idx="4">
                  <c:v>May</c:v>
                </c:pt>
                <c:pt idx="5">
                  <c:v>June</c:v>
                </c:pt>
                <c:pt idx="6">
                  <c:v>July</c:v>
                </c:pt>
                <c:pt idx="7">
                  <c:v>August</c:v>
                </c:pt>
                <c:pt idx="8">
                  <c:v>(blank)</c:v>
                </c:pt>
              </c:strCache>
            </c:strRef>
          </c:cat>
          <c:val>
            <c:numRef>
              <c:f>pivot_tables!$Z$13:$Z$22</c:f>
              <c:numCache>
                <c:formatCode>General</c:formatCode>
                <c:ptCount val="9"/>
                <c:pt idx="0">
                  <c:v>67065.849999999991</c:v>
                </c:pt>
                <c:pt idx="1">
                  <c:v>52465.490000000005</c:v>
                </c:pt>
                <c:pt idx="2">
                  <c:v>54928.170000000006</c:v>
                </c:pt>
                <c:pt idx="3">
                  <c:v>49154.549999999996</c:v>
                </c:pt>
                <c:pt idx="4">
                  <c:v>65455.099999999984</c:v>
                </c:pt>
                <c:pt idx="5">
                  <c:v>77321.020000000019</c:v>
                </c:pt>
                <c:pt idx="6">
                  <c:v>54049.460000000014</c:v>
                </c:pt>
                <c:pt idx="7">
                  <c:v>37835.040000000001</c:v>
                </c:pt>
              </c:numCache>
            </c:numRef>
          </c:val>
          <c:smooth val="0"/>
          <c:extLst>
            <c:ext xmlns:c16="http://schemas.microsoft.com/office/drawing/2014/chart" uri="{C3380CC4-5D6E-409C-BE32-E72D297353CC}">
              <c16:uniqueId val="{00000000-E2C8-43B3-BF29-58DBC229B6D2}"/>
            </c:ext>
          </c:extLst>
        </c:ser>
        <c:dLbls>
          <c:showLegendKey val="0"/>
          <c:showVal val="0"/>
          <c:showCatName val="0"/>
          <c:showSerName val="0"/>
          <c:showPercent val="0"/>
          <c:showBubbleSize val="0"/>
        </c:dLbls>
        <c:smooth val="0"/>
        <c:axId val="2020830720"/>
        <c:axId val="1824605520"/>
      </c:lineChart>
      <c:catAx>
        <c:axId val="20208307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24605520"/>
        <c:crosses val="autoZero"/>
        <c:auto val="1"/>
        <c:lblAlgn val="ctr"/>
        <c:lblOffset val="100"/>
        <c:noMultiLvlLbl val="0"/>
      </c:catAx>
      <c:valAx>
        <c:axId val="182460552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2083072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[Supermarket_Sales_and _performance.xlsx]pivot_tables!PivotTable2</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pivot_tables!$M$11</c:f>
              <c:strCache>
                <c:ptCount val="1"/>
                <c:pt idx="0">
                  <c:v>Total</c:v>
                </c:pt>
              </c:strCache>
            </c:strRef>
          </c:tx>
          <c:spPr>
            <a:solidFill>
              <a:schemeClr val="accent1"/>
            </a:solidFill>
            <a:ln>
              <a:noFill/>
            </a:ln>
            <a:effectLst/>
          </c:spPr>
          <c:invertIfNegative val="0"/>
          <c:cat>
            <c:strRef>
              <c:f>pivot_tables!$L$12:$L$20</c:f>
              <c:strCache>
                <c:ptCount val="8"/>
                <c:pt idx="0">
                  <c:v>Bakery</c:v>
                </c:pt>
                <c:pt idx="1">
                  <c:v>Dairy Products</c:v>
                </c:pt>
                <c:pt idx="2">
                  <c:v>Food &amp; Beverages</c:v>
                </c:pt>
                <c:pt idx="3">
                  <c:v>Fruits &amp; Vegetables</c:v>
                </c:pt>
                <c:pt idx="4">
                  <c:v>Groceries</c:v>
                </c:pt>
                <c:pt idx="5">
                  <c:v>Household</c:v>
                </c:pt>
                <c:pt idx="6">
                  <c:v>Personal Care</c:v>
                </c:pt>
                <c:pt idx="7">
                  <c:v>Snacks</c:v>
                </c:pt>
              </c:strCache>
            </c:strRef>
          </c:cat>
          <c:val>
            <c:numRef>
              <c:f>pivot_tables!$M$12:$M$20</c:f>
              <c:numCache>
                <c:formatCode>General</c:formatCode>
                <c:ptCount val="8"/>
                <c:pt idx="0">
                  <c:v>14573.5</c:v>
                </c:pt>
                <c:pt idx="1">
                  <c:v>35559.209999999992</c:v>
                </c:pt>
                <c:pt idx="2">
                  <c:v>63242.340000000011</c:v>
                </c:pt>
                <c:pt idx="3">
                  <c:v>31419.09</c:v>
                </c:pt>
                <c:pt idx="4">
                  <c:v>106162.01000000002</c:v>
                </c:pt>
                <c:pt idx="5">
                  <c:v>111896.61000000002</c:v>
                </c:pt>
                <c:pt idx="6">
                  <c:v>58599.99000000002</c:v>
                </c:pt>
                <c:pt idx="7">
                  <c:v>36821.93</c:v>
                </c:pt>
              </c:numCache>
            </c:numRef>
          </c:val>
          <c:extLst>
            <c:ext xmlns:c16="http://schemas.microsoft.com/office/drawing/2014/chart" uri="{C3380CC4-5D6E-409C-BE32-E72D297353CC}">
              <c16:uniqueId val="{00000000-DC3F-43A3-AC29-52C363806FC1}"/>
            </c:ext>
          </c:extLst>
        </c:ser>
        <c:dLbls>
          <c:showLegendKey val="0"/>
          <c:showVal val="0"/>
          <c:showCatName val="0"/>
          <c:showSerName val="0"/>
          <c:showPercent val="0"/>
          <c:showBubbleSize val="0"/>
        </c:dLbls>
        <c:gapWidth val="182"/>
        <c:axId val="1812194832"/>
        <c:axId val="1824621360"/>
      </c:barChart>
      <c:catAx>
        <c:axId val="181219483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24621360"/>
        <c:crosses val="autoZero"/>
        <c:auto val="1"/>
        <c:lblAlgn val="ctr"/>
        <c:lblOffset val="100"/>
        <c:noMultiLvlLbl val="0"/>
      </c:catAx>
      <c:valAx>
        <c:axId val="182462136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1219483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[Supermarket_Sales_and _performance.xlsx]pivot_tables!PivotTable1</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pivot_tables!$B$3</c:f>
              <c:strCache>
                <c:ptCount val="1"/>
                <c:pt idx="0">
                  <c:v>Total</c:v>
                </c:pt>
              </c:strCache>
            </c:strRef>
          </c:tx>
          <c:spPr>
            <a:solidFill>
              <a:schemeClr val="accent1"/>
            </a:solidFill>
            <a:ln>
              <a:noFill/>
            </a:ln>
            <a:effectLst/>
          </c:spPr>
          <c:invertIfNegative val="0"/>
          <c:cat>
            <c:strRef>
              <c:f>pivot_tables!$A$4:$A$9</c:f>
              <c:strCache>
                <c:ptCount val="5"/>
                <c:pt idx="0">
                  <c:v>Hyderabad Central</c:v>
                </c:pt>
                <c:pt idx="1">
                  <c:v>Kukatpally</c:v>
                </c:pt>
                <c:pt idx="2">
                  <c:v>Secunderabad</c:v>
                </c:pt>
                <c:pt idx="3">
                  <c:v>Vijayawada</c:v>
                </c:pt>
                <c:pt idx="4">
                  <c:v>Warangal</c:v>
                </c:pt>
              </c:strCache>
            </c:strRef>
          </c:cat>
          <c:val>
            <c:numRef>
              <c:f>pivot_tables!$B$4:$B$9</c:f>
              <c:numCache>
                <c:formatCode>General</c:formatCode>
                <c:ptCount val="5"/>
                <c:pt idx="0">
                  <c:v>111495.97000000003</c:v>
                </c:pt>
                <c:pt idx="1">
                  <c:v>80175.58</c:v>
                </c:pt>
                <c:pt idx="2">
                  <c:v>97181.04999999993</c:v>
                </c:pt>
                <c:pt idx="3">
                  <c:v>105913.94000000005</c:v>
                </c:pt>
                <c:pt idx="4">
                  <c:v>63508.14</c:v>
                </c:pt>
              </c:numCache>
            </c:numRef>
          </c:val>
          <c:extLst>
            <c:ext xmlns:c16="http://schemas.microsoft.com/office/drawing/2014/chart" uri="{C3380CC4-5D6E-409C-BE32-E72D297353CC}">
              <c16:uniqueId val="{00000000-5639-400D-9861-01E00A102F4F}"/>
            </c:ext>
          </c:extLst>
        </c:ser>
        <c:dLbls>
          <c:showLegendKey val="0"/>
          <c:showVal val="0"/>
          <c:showCatName val="0"/>
          <c:showSerName val="0"/>
          <c:showPercent val="0"/>
          <c:showBubbleSize val="0"/>
        </c:dLbls>
        <c:gapWidth val="219"/>
        <c:overlap val="-27"/>
        <c:axId val="2029260592"/>
        <c:axId val="1824633360"/>
      </c:barChart>
      <c:catAx>
        <c:axId val="20292605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24633360"/>
        <c:crosses val="autoZero"/>
        <c:auto val="1"/>
        <c:lblAlgn val="ctr"/>
        <c:lblOffset val="100"/>
        <c:noMultiLvlLbl val="0"/>
      </c:catAx>
      <c:valAx>
        <c:axId val="182463336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2926059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[Supermarket_Sales_and _performance.xlsx]pivot_tables!PivotTable5</c:name>
    <c:fmtId val="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pivot_tables!$AM$10</c:f>
              <c:strCache>
                <c:ptCount val="1"/>
                <c:pt idx="0">
                  <c:v>Total</c:v>
                </c:pt>
              </c:strCache>
            </c:strRef>
          </c:tx>
          <c:spPr>
            <a:solidFill>
              <a:schemeClr val="accent1"/>
            </a:solidFill>
            <a:ln>
              <a:noFill/>
            </a:ln>
            <a:effectLst/>
          </c:spPr>
          <c:invertIfNegative val="0"/>
          <c:cat>
            <c:strRef>
              <c:f>pivot_tables!$AL$11:$AL$20</c:f>
              <c:strCache>
                <c:ptCount val="9"/>
                <c:pt idx="0">
                  <c:v>Bakery</c:v>
                </c:pt>
                <c:pt idx="1">
                  <c:v>Dairy Products</c:v>
                </c:pt>
                <c:pt idx="2">
                  <c:v>Food &amp; Beverages</c:v>
                </c:pt>
                <c:pt idx="3">
                  <c:v>Fruits &amp; Vegetables</c:v>
                </c:pt>
                <c:pt idx="4">
                  <c:v>Groceries</c:v>
                </c:pt>
                <c:pt idx="5">
                  <c:v>Household</c:v>
                </c:pt>
                <c:pt idx="6">
                  <c:v>Personal Care</c:v>
                </c:pt>
                <c:pt idx="7">
                  <c:v>Snacks</c:v>
                </c:pt>
                <c:pt idx="8">
                  <c:v>(blank)</c:v>
                </c:pt>
              </c:strCache>
            </c:strRef>
          </c:cat>
          <c:val>
            <c:numRef>
              <c:f>pivot_tables!$AM$11:$AM$20</c:f>
              <c:numCache>
                <c:formatCode>General</c:formatCode>
                <c:ptCount val="9"/>
                <c:pt idx="0">
                  <c:v>168</c:v>
                </c:pt>
                <c:pt idx="1">
                  <c:v>358</c:v>
                </c:pt>
                <c:pt idx="2">
                  <c:v>405</c:v>
                </c:pt>
                <c:pt idx="3">
                  <c:v>392</c:v>
                </c:pt>
                <c:pt idx="4">
                  <c:v>477</c:v>
                </c:pt>
                <c:pt idx="5">
                  <c:v>301</c:v>
                </c:pt>
                <c:pt idx="6">
                  <c:v>287</c:v>
                </c:pt>
                <c:pt idx="7">
                  <c:v>312</c:v>
                </c:pt>
              </c:numCache>
            </c:numRef>
          </c:val>
          <c:extLst>
            <c:ext xmlns:c16="http://schemas.microsoft.com/office/drawing/2014/chart" uri="{C3380CC4-5D6E-409C-BE32-E72D297353CC}">
              <c16:uniqueId val="{00000000-BAB7-4A56-B671-F9387B7A17CD}"/>
            </c:ext>
          </c:extLst>
        </c:ser>
        <c:dLbls>
          <c:showLegendKey val="0"/>
          <c:showVal val="0"/>
          <c:showCatName val="0"/>
          <c:showSerName val="0"/>
          <c:showPercent val="0"/>
          <c:showBubbleSize val="0"/>
        </c:dLbls>
        <c:gapWidth val="182"/>
        <c:axId val="2028672928"/>
        <c:axId val="1824616560"/>
      </c:barChart>
      <c:catAx>
        <c:axId val="202867292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24616560"/>
        <c:crosses val="autoZero"/>
        <c:auto val="1"/>
        <c:lblAlgn val="ctr"/>
        <c:lblOffset val="100"/>
        <c:noMultiLvlLbl val="0"/>
      </c:catAx>
      <c:valAx>
        <c:axId val="182461656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2867292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[Supermarket_Sales_and _performance.xlsx]pivot_tables!PivotTable6</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s>
    <c:plotArea>
      <c:layout/>
      <c:pieChart>
        <c:varyColors val="1"/>
        <c:ser>
          <c:idx val="0"/>
          <c:order val="0"/>
          <c:tx>
            <c:strRef>
              <c:f>pivot_tables!$BC$5</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EAB1-409D-BC0B-89193C6FFB0E}"/>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EAB1-409D-BC0B-89193C6FFB0E}"/>
              </c:ext>
            </c:extLst>
          </c:dPt>
          <c:dPt>
            <c:idx val="2"/>
            <c:bubble3D val="0"/>
            <c:spPr>
              <a:solidFill>
                <a:schemeClr val="accent3"/>
              </a:solidFill>
              <a:ln w="19050">
                <a:solidFill>
                  <a:schemeClr val="lt1"/>
                </a:solidFill>
              </a:ln>
              <a:effectLst/>
            </c:spPr>
          </c:dPt>
          <c:cat>
            <c:strRef>
              <c:f>pivot_tables!$BB$6:$BB$9</c:f>
              <c:strCache>
                <c:ptCount val="3"/>
                <c:pt idx="0">
                  <c:v>Member</c:v>
                </c:pt>
                <c:pt idx="1">
                  <c:v>Normal</c:v>
                </c:pt>
                <c:pt idx="2">
                  <c:v>(blank)</c:v>
                </c:pt>
              </c:strCache>
            </c:strRef>
          </c:cat>
          <c:val>
            <c:numRef>
              <c:f>pivot_tables!$BC$6:$BC$9</c:f>
              <c:numCache>
                <c:formatCode>General</c:formatCode>
                <c:ptCount val="3"/>
                <c:pt idx="0">
                  <c:v>237398.43999999989</c:v>
                </c:pt>
                <c:pt idx="1">
                  <c:v>220876.24</c:v>
                </c:pt>
              </c:numCache>
            </c:numRef>
          </c:val>
          <c:extLst>
            <c:ext xmlns:c16="http://schemas.microsoft.com/office/drawing/2014/chart" uri="{C3380CC4-5D6E-409C-BE32-E72D297353CC}">
              <c16:uniqueId val="{00000000-87B2-4046-A317-A4FDAAD63668}"/>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[Supermarket_Sales_and _performance.xlsx]pivot_tables!PivotTable7</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pivot_tables!$BP$12</c:f>
              <c:strCache>
                <c:ptCount val="1"/>
                <c:pt idx="0">
                  <c:v>Total</c:v>
                </c:pt>
              </c:strCache>
            </c:strRef>
          </c:tx>
          <c:spPr>
            <a:solidFill>
              <a:schemeClr val="accent1"/>
            </a:solidFill>
            <a:ln>
              <a:noFill/>
            </a:ln>
            <a:effectLst/>
          </c:spPr>
          <c:invertIfNegative val="0"/>
          <c:cat>
            <c:strRef>
              <c:f>pivot_tables!$BO$13:$BO$19</c:f>
              <c:strCache>
                <c:ptCount val="6"/>
                <c:pt idx="0">
                  <c:v>Cash</c:v>
                </c:pt>
                <c:pt idx="1">
                  <c:v>Credit Card</c:v>
                </c:pt>
                <c:pt idx="2">
                  <c:v>Debit Card</c:v>
                </c:pt>
                <c:pt idx="3">
                  <c:v>UPI</c:v>
                </c:pt>
                <c:pt idx="4">
                  <c:v>Wallet</c:v>
                </c:pt>
                <c:pt idx="5">
                  <c:v>(blank)</c:v>
                </c:pt>
              </c:strCache>
            </c:strRef>
          </c:cat>
          <c:val>
            <c:numRef>
              <c:f>pivot_tables!$BP$13:$BP$19</c:f>
              <c:numCache>
                <c:formatCode>General</c:formatCode>
                <c:ptCount val="6"/>
                <c:pt idx="0">
                  <c:v>71264.650000000009</c:v>
                </c:pt>
                <c:pt idx="1">
                  <c:v>85123.999999999985</c:v>
                </c:pt>
                <c:pt idx="2">
                  <c:v>90183.869999999966</c:v>
                </c:pt>
                <c:pt idx="3">
                  <c:v>166231.25999999992</c:v>
                </c:pt>
                <c:pt idx="4">
                  <c:v>45470.9</c:v>
                </c:pt>
              </c:numCache>
            </c:numRef>
          </c:val>
          <c:extLst>
            <c:ext xmlns:c16="http://schemas.microsoft.com/office/drawing/2014/chart" uri="{C3380CC4-5D6E-409C-BE32-E72D297353CC}">
              <c16:uniqueId val="{00000000-1D5F-49F7-8799-DB8A908548A9}"/>
            </c:ext>
          </c:extLst>
        </c:ser>
        <c:dLbls>
          <c:showLegendKey val="0"/>
          <c:showVal val="0"/>
          <c:showCatName val="0"/>
          <c:showSerName val="0"/>
          <c:showPercent val="0"/>
          <c:showBubbleSize val="0"/>
        </c:dLbls>
        <c:gapWidth val="182"/>
        <c:axId val="1684558383"/>
        <c:axId val="1689976335"/>
      </c:barChart>
      <c:catAx>
        <c:axId val="168455838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89976335"/>
        <c:crosses val="autoZero"/>
        <c:auto val="1"/>
        <c:lblAlgn val="ctr"/>
        <c:lblOffset val="100"/>
        <c:noMultiLvlLbl val="0"/>
      </c:catAx>
      <c:valAx>
        <c:axId val="1689976335"/>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8455838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[Supermarket_Sales_and _performance.xlsx]pivot_tables!PivotTable1</c:name>
    <c:fmtId val="3"/>
  </c:pivotSource>
  <c:chart>
    <c:autoTitleDeleted val="1"/>
    <c:pivotFmts>
      <c:pivotFmt>
        <c:idx val="0"/>
        <c:spPr>
          <a:solidFill>
            <a:schemeClr val="accent2"/>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2"/>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9959790831772649E-2"/>
          <c:y val="5.0644567219152857E-2"/>
          <c:w val="0.88659604889542265"/>
          <c:h val="0.73723118864285608"/>
        </c:manualLayout>
      </c:layout>
      <c:barChart>
        <c:barDir val="col"/>
        <c:grouping val="clustered"/>
        <c:varyColors val="0"/>
        <c:ser>
          <c:idx val="0"/>
          <c:order val="0"/>
          <c:tx>
            <c:strRef>
              <c:f>pivot_tables!$B$3</c:f>
              <c:strCache>
                <c:ptCount val="1"/>
                <c:pt idx="0">
                  <c:v>Total</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pivot_tables!$A$4:$A$9</c:f>
              <c:strCache>
                <c:ptCount val="5"/>
                <c:pt idx="0">
                  <c:v>Hyderabad Central</c:v>
                </c:pt>
                <c:pt idx="1">
                  <c:v>Kukatpally</c:v>
                </c:pt>
                <c:pt idx="2">
                  <c:v>Secunderabad</c:v>
                </c:pt>
                <c:pt idx="3">
                  <c:v>Vijayawada</c:v>
                </c:pt>
                <c:pt idx="4">
                  <c:v>Warangal</c:v>
                </c:pt>
              </c:strCache>
            </c:strRef>
          </c:cat>
          <c:val>
            <c:numRef>
              <c:f>pivot_tables!$B$4:$B$9</c:f>
              <c:numCache>
                <c:formatCode>General</c:formatCode>
                <c:ptCount val="5"/>
                <c:pt idx="0">
                  <c:v>111495.97000000003</c:v>
                </c:pt>
                <c:pt idx="1">
                  <c:v>80175.58</c:v>
                </c:pt>
                <c:pt idx="2">
                  <c:v>97181.04999999993</c:v>
                </c:pt>
                <c:pt idx="3">
                  <c:v>105913.94000000005</c:v>
                </c:pt>
                <c:pt idx="4">
                  <c:v>63508.14</c:v>
                </c:pt>
              </c:numCache>
            </c:numRef>
          </c:val>
          <c:extLst>
            <c:ext xmlns:c16="http://schemas.microsoft.com/office/drawing/2014/chart" uri="{C3380CC4-5D6E-409C-BE32-E72D297353CC}">
              <c16:uniqueId val="{00000000-F600-4E68-997F-E42C82D2E9DB}"/>
            </c:ext>
          </c:extLst>
        </c:ser>
        <c:dLbls>
          <c:showLegendKey val="0"/>
          <c:showVal val="1"/>
          <c:showCatName val="0"/>
          <c:showSerName val="0"/>
          <c:showPercent val="0"/>
          <c:showBubbleSize val="0"/>
        </c:dLbls>
        <c:gapWidth val="75"/>
        <c:axId val="2029260592"/>
        <c:axId val="1824633360"/>
      </c:barChart>
      <c:catAx>
        <c:axId val="20292605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24633360"/>
        <c:crosses val="autoZero"/>
        <c:auto val="1"/>
        <c:lblAlgn val="ctr"/>
        <c:lblOffset val="100"/>
        <c:noMultiLvlLbl val="0"/>
      </c:catAx>
      <c:valAx>
        <c:axId val="182463336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2926059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2">
        <a:lumMod val="60000"/>
        <a:lumOff val="4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[Supermarket_Sales_and _performance.xlsx]pivot_tables!PivotTable2</c:name>
    <c:fmtId val="3"/>
  </c:pivotSource>
  <c:chart>
    <c:autoTitleDeleted val="1"/>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pivot_tables!$M$11</c:f>
              <c:strCache>
                <c:ptCount val="1"/>
                <c:pt idx="0">
                  <c:v>Total</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pivot_tables!$L$12:$L$20</c:f>
              <c:strCache>
                <c:ptCount val="8"/>
                <c:pt idx="0">
                  <c:v>Bakery</c:v>
                </c:pt>
                <c:pt idx="1">
                  <c:v>Dairy Products</c:v>
                </c:pt>
                <c:pt idx="2">
                  <c:v>Food &amp; Beverages</c:v>
                </c:pt>
                <c:pt idx="3">
                  <c:v>Fruits &amp; Vegetables</c:v>
                </c:pt>
                <c:pt idx="4">
                  <c:v>Groceries</c:v>
                </c:pt>
                <c:pt idx="5">
                  <c:v>Household</c:v>
                </c:pt>
                <c:pt idx="6">
                  <c:v>Personal Care</c:v>
                </c:pt>
                <c:pt idx="7">
                  <c:v>Snacks</c:v>
                </c:pt>
              </c:strCache>
            </c:strRef>
          </c:cat>
          <c:val>
            <c:numRef>
              <c:f>pivot_tables!$M$12:$M$20</c:f>
              <c:numCache>
                <c:formatCode>General</c:formatCode>
                <c:ptCount val="8"/>
                <c:pt idx="0">
                  <c:v>14573.5</c:v>
                </c:pt>
                <c:pt idx="1">
                  <c:v>35559.209999999992</c:v>
                </c:pt>
                <c:pt idx="2">
                  <c:v>63242.340000000011</c:v>
                </c:pt>
                <c:pt idx="3">
                  <c:v>31419.09</c:v>
                </c:pt>
                <c:pt idx="4">
                  <c:v>106162.01000000002</c:v>
                </c:pt>
                <c:pt idx="5">
                  <c:v>111896.61000000002</c:v>
                </c:pt>
                <c:pt idx="6">
                  <c:v>58599.99000000002</c:v>
                </c:pt>
                <c:pt idx="7">
                  <c:v>36821.93</c:v>
                </c:pt>
              </c:numCache>
            </c:numRef>
          </c:val>
          <c:extLst>
            <c:ext xmlns:c16="http://schemas.microsoft.com/office/drawing/2014/chart" uri="{C3380CC4-5D6E-409C-BE32-E72D297353CC}">
              <c16:uniqueId val="{00000000-81CD-402A-8F7E-A97675179617}"/>
            </c:ext>
          </c:extLst>
        </c:ser>
        <c:dLbls>
          <c:showLegendKey val="0"/>
          <c:showVal val="1"/>
          <c:showCatName val="0"/>
          <c:showSerName val="0"/>
          <c:showPercent val="0"/>
          <c:showBubbleSize val="0"/>
        </c:dLbls>
        <c:gapWidth val="75"/>
        <c:axId val="1812194832"/>
        <c:axId val="1824621360"/>
      </c:barChart>
      <c:catAx>
        <c:axId val="181219483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24621360"/>
        <c:crosses val="autoZero"/>
        <c:auto val="1"/>
        <c:lblAlgn val="ctr"/>
        <c:lblOffset val="100"/>
        <c:noMultiLvlLbl val="0"/>
      </c:catAx>
      <c:valAx>
        <c:axId val="182462136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1219483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2">
        <a:lumMod val="60000"/>
        <a:lumOff val="4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[Supermarket_Sales_and _performance.xlsx]pivot_tables!PivotTable4</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Total Sales By Month</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cmpd="sng" algn="ctr">
            <a:solidFill>
              <a:schemeClr val="accent2">
                <a:shade val="95000"/>
                <a:satMod val="105000"/>
              </a:schemeClr>
            </a:solidFill>
            <a:prstDash val="solid"/>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pivot_tables!$Z$12</c:f>
              <c:strCache>
                <c:ptCount val="1"/>
                <c:pt idx="0">
                  <c:v>Total</c:v>
                </c:pt>
              </c:strCache>
            </c:strRef>
          </c:tx>
          <c:spPr>
            <a:ln w="28575" cap="rnd" cmpd="sng" algn="ctr">
              <a:solidFill>
                <a:schemeClr val="accent2">
                  <a:shade val="95000"/>
                  <a:satMod val="105000"/>
                </a:schemeClr>
              </a:solidFill>
              <a:prstDash val="solid"/>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solidFill>
                    <a:latin typeface="+mn-lt"/>
                    <a:ea typeface="+mn-ea"/>
                    <a:cs typeface="+mn-cs"/>
                  </a:defRPr>
                </a:pPr>
                <a:endParaRPr lang="en-US"/>
              </a:p>
            </c:txPr>
            <c:dLblPos val="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shade val="95000"/>
                          <a:satMod val="105000"/>
                        </a:schemeClr>
                      </a:solidFill>
                      <a:prstDash val="solid"/>
                      <a:round/>
                    </a:ln>
                    <a:effectLst/>
                  </c:spPr>
                </c15:leaderLines>
              </c:ext>
            </c:extLst>
          </c:dLbls>
          <c:cat>
            <c:strRef>
              <c:f>pivot_tables!$Y$13:$Y$22</c:f>
              <c:strCache>
                <c:ptCount val="9"/>
                <c:pt idx="0">
                  <c:v>January</c:v>
                </c:pt>
                <c:pt idx="1">
                  <c:v>February</c:v>
                </c:pt>
                <c:pt idx="2">
                  <c:v>March</c:v>
                </c:pt>
                <c:pt idx="3">
                  <c:v>April</c:v>
                </c:pt>
                <c:pt idx="4">
                  <c:v>May</c:v>
                </c:pt>
                <c:pt idx="5">
                  <c:v>June</c:v>
                </c:pt>
                <c:pt idx="6">
                  <c:v>July</c:v>
                </c:pt>
                <c:pt idx="7">
                  <c:v>August</c:v>
                </c:pt>
                <c:pt idx="8">
                  <c:v>(blank)</c:v>
                </c:pt>
              </c:strCache>
            </c:strRef>
          </c:cat>
          <c:val>
            <c:numRef>
              <c:f>pivot_tables!$Z$13:$Z$22</c:f>
              <c:numCache>
                <c:formatCode>General</c:formatCode>
                <c:ptCount val="9"/>
                <c:pt idx="0">
                  <c:v>67065.849999999991</c:v>
                </c:pt>
                <c:pt idx="1">
                  <c:v>52465.490000000005</c:v>
                </c:pt>
                <c:pt idx="2">
                  <c:v>54928.170000000006</c:v>
                </c:pt>
                <c:pt idx="3">
                  <c:v>49154.549999999996</c:v>
                </c:pt>
                <c:pt idx="4">
                  <c:v>65455.099999999984</c:v>
                </c:pt>
                <c:pt idx="5">
                  <c:v>77321.020000000019</c:v>
                </c:pt>
                <c:pt idx="6">
                  <c:v>54049.460000000014</c:v>
                </c:pt>
                <c:pt idx="7">
                  <c:v>37835.040000000001</c:v>
                </c:pt>
              </c:numCache>
            </c:numRef>
          </c:val>
          <c:smooth val="0"/>
          <c:extLst>
            <c:ext xmlns:c16="http://schemas.microsoft.com/office/drawing/2014/chart" uri="{C3380CC4-5D6E-409C-BE32-E72D297353CC}">
              <c16:uniqueId val="{00000002-D29D-413D-B5D9-9CB471DE4AEC}"/>
            </c:ext>
          </c:extLst>
        </c:ser>
        <c:dLbls>
          <c:showLegendKey val="0"/>
          <c:showVal val="1"/>
          <c:showCatName val="0"/>
          <c:showSerName val="0"/>
          <c:showPercent val="0"/>
          <c:showBubbleSize val="0"/>
        </c:dLbls>
        <c:smooth val="0"/>
        <c:axId val="2020830720"/>
        <c:axId val="1824605520"/>
      </c:lineChart>
      <c:catAx>
        <c:axId val="20208307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prstDash val="solid"/>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24605520"/>
        <c:crosses val="autoZero"/>
        <c:auto val="1"/>
        <c:lblAlgn val="ctr"/>
        <c:lblOffset val="100"/>
        <c:noMultiLvlLbl val="0"/>
      </c:catAx>
      <c:valAx>
        <c:axId val="1824605520"/>
        <c:scaling>
          <c:orientation val="minMax"/>
        </c:scaling>
        <c:delete val="0"/>
        <c:axPos val="l"/>
        <c:majorGridlines>
          <c:spPr>
            <a:ln w="9525" cap="flat" cmpd="sng" algn="ctr">
              <a:solidFill>
                <a:schemeClr val="tx1">
                  <a:lumMod val="15000"/>
                  <a:lumOff val="85000"/>
                </a:schemeClr>
              </a:solidFill>
              <a:prstDash val="solid"/>
              <a:round/>
            </a:ln>
            <a:effectLst/>
          </c:spPr>
        </c:majorGridlines>
        <c:numFmt formatCode="General" sourceLinked="1"/>
        <c:majorTickMark val="none"/>
        <c:minorTickMark val="none"/>
        <c:tickLblPos val="nextTo"/>
        <c:spPr>
          <a:noFill/>
          <a:ln w="9525" cap="flat" cmpd="sng" algn="ctr">
            <a:solidFill>
              <a:schemeClr val="tx1">
                <a:tint val="75000"/>
                <a:shade val="95000"/>
                <a:satMod val="105000"/>
              </a:schemeClr>
            </a:solidFill>
            <a:prstDash val="solid"/>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20830720"/>
        <c:crosses val="autoZero"/>
        <c:crossBetween val="between"/>
      </c:valAx>
      <c:spPr>
        <a:solidFill>
          <a:schemeClr val="accent2">
            <a:lumMod val="60000"/>
            <a:lumOff val="40000"/>
          </a:schemeClr>
        </a:solid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chart>
  <c:spPr>
    <a:solidFill>
      <a:schemeClr val="accent2">
        <a:lumMod val="60000"/>
        <a:lumOff val="40000"/>
      </a:schemeClr>
    </a:solidFill>
    <a:ln w="9525" cap="flat" cmpd="sng" algn="ctr">
      <a:solidFill>
        <a:schemeClr val="tx1">
          <a:tint val="75000"/>
          <a:shade val="95000"/>
          <a:satMod val="105000"/>
        </a:schemeClr>
      </a:solidFill>
      <a:prstDash val="solid"/>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[Supermarket_Sales_and _performance.xlsx]pivot_tables!PivotTable6</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 sales By Customer Type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s>
    <c:plotArea>
      <c:layout/>
      <c:pieChart>
        <c:varyColors val="1"/>
        <c:ser>
          <c:idx val="0"/>
          <c:order val="0"/>
          <c:tx>
            <c:strRef>
              <c:f>pivot_tables!$BC$5</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3DCC-4BD1-AECD-B425BEEA9093}"/>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3DCC-4BD1-AECD-B425BEEA9093}"/>
              </c:ext>
            </c:extLst>
          </c:dPt>
          <c:dPt>
            <c:idx val="2"/>
            <c:bubble3D val="0"/>
            <c:spPr>
              <a:solidFill>
                <a:schemeClr val="accent3"/>
              </a:solidFill>
              <a:ln w="19050">
                <a:solidFill>
                  <a:schemeClr val="lt1"/>
                </a:solidFill>
              </a:ln>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pivot_tables!$BB$6:$BB$9</c:f>
              <c:strCache>
                <c:ptCount val="3"/>
                <c:pt idx="0">
                  <c:v>Member</c:v>
                </c:pt>
                <c:pt idx="1">
                  <c:v>Normal</c:v>
                </c:pt>
                <c:pt idx="2">
                  <c:v>(blank)</c:v>
                </c:pt>
              </c:strCache>
            </c:strRef>
          </c:cat>
          <c:val>
            <c:numRef>
              <c:f>pivot_tables!$BC$6:$BC$9</c:f>
              <c:numCache>
                <c:formatCode>General</c:formatCode>
                <c:ptCount val="3"/>
                <c:pt idx="0">
                  <c:v>237398.43999999989</c:v>
                </c:pt>
                <c:pt idx="1">
                  <c:v>220876.24</c:v>
                </c:pt>
              </c:numCache>
            </c:numRef>
          </c:val>
          <c:extLst>
            <c:ext xmlns:c16="http://schemas.microsoft.com/office/drawing/2014/chart" uri="{C3380CC4-5D6E-409C-BE32-E72D297353CC}">
              <c16:uniqueId val="{00000004-3DCC-4BD1-AECD-B425BEEA9093}"/>
            </c:ext>
          </c:extLst>
        </c:ser>
        <c:dLbls>
          <c:showLegendKey val="0"/>
          <c:showVal val="0"/>
          <c:showCatName val="1"/>
          <c:showSerName val="0"/>
          <c:showPercent val="1"/>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2">
        <a:lumMod val="60000"/>
        <a:lumOff val="4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[Supermarket_Sales_and _performance.xlsx]pivot_tables!PivotTable7</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Type</a:t>
            </a:r>
            <a:r>
              <a:rPr lang="en-US" baseline="0"/>
              <a:t> Of Payment</a:t>
            </a:r>
          </a:p>
          <a:p>
            <a:pPr>
              <a:defRPr/>
            </a:pP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pivot_tables!$BP$12</c:f>
              <c:strCache>
                <c:ptCount val="1"/>
                <c:pt idx="0">
                  <c:v>Total</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pivot_tables!$BO$13:$BO$19</c:f>
              <c:strCache>
                <c:ptCount val="6"/>
                <c:pt idx="0">
                  <c:v>Cash</c:v>
                </c:pt>
                <c:pt idx="1">
                  <c:v>Credit Card</c:v>
                </c:pt>
                <c:pt idx="2">
                  <c:v>Debit Card</c:v>
                </c:pt>
                <c:pt idx="3">
                  <c:v>UPI</c:v>
                </c:pt>
                <c:pt idx="4">
                  <c:v>Wallet</c:v>
                </c:pt>
                <c:pt idx="5">
                  <c:v>(blank)</c:v>
                </c:pt>
              </c:strCache>
            </c:strRef>
          </c:cat>
          <c:val>
            <c:numRef>
              <c:f>pivot_tables!$BP$13:$BP$19</c:f>
              <c:numCache>
                <c:formatCode>General</c:formatCode>
                <c:ptCount val="6"/>
                <c:pt idx="0">
                  <c:v>71264.650000000009</c:v>
                </c:pt>
                <c:pt idx="1">
                  <c:v>85123.999999999985</c:v>
                </c:pt>
                <c:pt idx="2">
                  <c:v>90183.869999999966</c:v>
                </c:pt>
                <c:pt idx="3">
                  <c:v>166231.25999999992</c:v>
                </c:pt>
                <c:pt idx="4">
                  <c:v>45470.9</c:v>
                </c:pt>
              </c:numCache>
            </c:numRef>
          </c:val>
          <c:extLst>
            <c:ext xmlns:c16="http://schemas.microsoft.com/office/drawing/2014/chart" uri="{C3380CC4-5D6E-409C-BE32-E72D297353CC}">
              <c16:uniqueId val="{00000000-284F-44FB-9B0A-89E6B959D56E}"/>
            </c:ext>
          </c:extLst>
        </c:ser>
        <c:dLbls>
          <c:showLegendKey val="0"/>
          <c:showVal val="0"/>
          <c:showCatName val="0"/>
          <c:showSerName val="0"/>
          <c:showPercent val="0"/>
          <c:showBubbleSize val="0"/>
        </c:dLbls>
        <c:gapWidth val="75"/>
        <c:overlap val="40"/>
        <c:axId val="1684558383"/>
        <c:axId val="1689976335"/>
      </c:barChart>
      <c:catAx>
        <c:axId val="168455838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89976335"/>
        <c:crosses val="autoZero"/>
        <c:auto val="1"/>
        <c:lblAlgn val="ctr"/>
        <c:lblOffset val="100"/>
        <c:noMultiLvlLbl val="0"/>
      </c:catAx>
      <c:valAx>
        <c:axId val="1689976335"/>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8455838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2">
        <a:lumMod val="60000"/>
        <a:lumOff val="4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withinLinear" id="15">
  <a:schemeClr val="accent2"/>
</cs:colorStyle>
</file>

<file path=xl/charts/colors8.xml><?xml version="1.0" encoding="utf-8"?>
<cs:colorStyle xmlns:cs="http://schemas.microsoft.com/office/drawing/2012/chartStyle" xmlns:a="http://schemas.openxmlformats.org/drawingml/2006/main" meth="withinLinear" id="15">
  <a:schemeClr val="accent2"/>
</cs:colorStyle>
</file>

<file path=xl/charts/colors9.xml><?xml version="1.0" encoding="utf-8"?>
<cs:colorStyle xmlns:cs="http://schemas.microsoft.com/office/drawing/2012/chartStyle" xmlns:a="http://schemas.openxmlformats.org/drawingml/2006/main" meth="withinLinear" id="15">
  <a:schemeClr val="accent2"/>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withinLinear" id="15">
  <a:schemeClr val="accent2"/>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102">
  <cs:axisTitle>
    <cs:lnRef idx="0"/>
    <cs:fillRef idx="0"/>
    <cs:effectRef idx="0"/>
    <cs:fontRef idx="minor">
      <a:schemeClr val="tx1"/>
    </cs:fontRef>
    <cs:defRPr sz="1000" b="1" kern="1200"/>
  </cs:axisTitle>
  <cs:categoryAxis>
    <cs:lnRef idx="1">
      <a:schemeClr val="tx1">
        <a:tint val="75000"/>
      </a:schemeClr>
    </cs:lnRef>
    <cs:fillRef idx="0"/>
    <cs:effectRef idx="0"/>
    <cs:fontRef idx="minor">
      <a:schemeClr val="tx1"/>
    </cs:fontRef>
    <cs:spPr>
      <a:ln>
        <a:round/>
      </a:ln>
    </cs:spPr>
    <cs:defRPr sz="1000" kern="1200"/>
  </cs:categoryAxis>
  <cs:chartArea mods="allowNoFillOverride allowNoLineOverride">
    <cs:lnRef idx="1">
      <a:schemeClr val="tx1">
        <a:tint val="75000"/>
      </a:schemeClr>
    </cs:lnRef>
    <cs:fillRef idx="1">
      <a:schemeClr val="bg1"/>
    </cs:fillRef>
    <cs:effectRef idx="0"/>
    <cs:fontRef idx="minor">
      <a:schemeClr val="tx1"/>
    </cs:fontRef>
    <cs:spPr>
      <a:ln>
        <a:round/>
      </a:ln>
    </cs:spPr>
    <cs:defRPr sz="1000" kern="1200"/>
  </cs:chartArea>
  <cs:dataLabel>
    <cs:lnRef idx="0"/>
    <cs:fillRef idx="0"/>
    <cs:effectRef idx="0"/>
    <cs:fontRef idx="minor">
      <a:schemeClr val="tx1"/>
    </cs:fontRef>
    <cs:defRPr sz="1000" kern="1200"/>
  </cs:dataLabel>
  <cs:dataLabelCallout>
    <cs:lnRef idx="0"/>
    <cs:fillRef idx="0"/>
    <cs:effectRef idx="0"/>
    <cs:fontRef idx="minor">
      <a:schemeClr val="dk1"/>
    </cs:fontRef>
    <cs:spPr>
      <a:solidFill>
        <a:schemeClr val="lt1"/>
      </a:solidFill>
      <a:ln>
        <a:solidFill>
          <a:schemeClr val="dk1">
            <a:lumMod val="65000"/>
            <a:lumOff val="35000"/>
          </a:schemeClr>
        </a:solidFill>
      </a:ln>
    </cs:spPr>
    <cs:defRPr sz="1000" kern="1200"/>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1">
      <cs:styleClr val="auto"/>
    </cs:lnRef>
    <cs:lineWidthScale>3</cs:lineWidthScale>
    <cs:fillRef idx="0"/>
    <cs:effectRef idx="0"/>
    <cs:fontRef idx="minor">
      <a:schemeClr val="tx1"/>
    </cs:fontRef>
    <cs:spPr>
      <a:ln cap="rnd">
        <a:round/>
      </a:ln>
    </cs:spPr>
  </cs:dataPointLine>
  <cs:dataPointMarker>
    <cs:lnRef idx="1">
      <cs:styleClr val="auto"/>
    </cs:lnRef>
    <cs:fillRef idx="1">
      <cs:styleClr val="auto"/>
    </cs:fillRef>
    <cs:effectRef idx="0"/>
    <cs:fontRef idx="minor">
      <a:schemeClr val="tx1"/>
    </cs:fontRef>
    <cs:spPr>
      <a:ln>
        <a:round/>
      </a:ln>
    </cs:spPr>
  </cs:dataPointMarker>
  <cs:dataPointMarkerLayout/>
  <cs:dataPointWireframe>
    <cs:lnRef idx="1">
      <cs:styleClr val="auto"/>
    </cs:lnRef>
    <cs:fillRef idx="0"/>
    <cs:effectRef idx="0"/>
    <cs:fontRef idx="minor">
      <a:schemeClr val="tx1"/>
    </cs:fontRef>
    <cs:spPr>
      <a:ln>
        <a:round/>
      </a:ln>
    </cs:spPr>
  </cs:dataPointWireframe>
  <cs:dataTable>
    <cs:lnRef idx="1">
      <a:schemeClr val="tx1">
        <a:tint val="75000"/>
      </a:schemeClr>
    </cs:lnRef>
    <cs:fillRef idx="0"/>
    <cs:effectRef idx="0"/>
    <cs:fontRef idx="minor">
      <a:schemeClr val="tx1"/>
    </cs:fontRef>
    <cs:spPr>
      <a:ln>
        <a:round/>
      </a:ln>
    </cs:spPr>
    <cs:defRPr sz="1000" kern="1200"/>
  </cs:dataTable>
  <cs:downBar>
    <cs:lnRef idx="1">
      <a:schemeClr val="tx1"/>
    </cs:lnRef>
    <cs:fillRef idx="1">
      <a:schemeClr val="dk1">
        <a:tint val="95000"/>
      </a:schemeClr>
    </cs:fillRef>
    <cs:effectRef idx="0"/>
    <cs:fontRef idx="minor">
      <a:schemeClr val="tx1"/>
    </cs:fontRef>
    <cs:spPr>
      <a:ln>
        <a:round/>
      </a:ln>
    </cs:spPr>
  </cs:downBar>
  <cs:dropLine>
    <cs:lnRef idx="1">
      <a:schemeClr val="tx1"/>
    </cs:lnRef>
    <cs:fillRef idx="0"/>
    <cs:effectRef idx="0"/>
    <cs:fontRef idx="minor">
      <a:schemeClr val="tx1"/>
    </cs:fontRef>
    <cs:spPr>
      <a:ln>
        <a:round/>
      </a:ln>
    </cs:spPr>
  </cs:dropLine>
  <cs:errorBar>
    <cs:lnRef idx="1">
      <a:schemeClr val="tx1"/>
    </cs:lnRef>
    <cs:fillRef idx="1">
      <a:schemeClr val="tx1"/>
    </cs:fillRef>
    <cs:effectRef idx="0"/>
    <cs:fontRef idx="minor">
      <a:schemeClr val="tx1"/>
    </cs:fontRef>
    <cs:spPr>
      <a:ln>
        <a:round/>
      </a:ln>
    </cs:spPr>
  </cs:errorBar>
  <cs:floor>
    <cs:lnRef idx="1">
      <a:schemeClr val="tx1">
        <a:tint val="75000"/>
      </a:schemeClr>
    </cs:lnRef>
    <cs:fillRef idx="0"/>
    <cs:effectRef idx="0"/>
    <cs:fontRef idx="minor">
      <a:schemeClr val="tx1"/>
    </cs:fontRef>
    <cs:spPr>
      <a:ln>
        <a:round/>
      </a:ln>
    </cs:spPr>
  </cs:floor>
  <cs:gridlineMajor>
    <cs:lnRef idx="1">
      <a:schemeClr val="tx1">
        <a:tint val="75000"/>
      </a:schemeClr>
    </cs:lnRef>
    <cs:fillRef idx="0"/>
    <cs:effectRef idx="0"/>
    <cs:fontRef idx="minor">
      <a:schemeClr val="tx1"/>
    </cs:fontRef>
    <cs:spPr>
      <a:ln>
        <a:round/>
      </a:ln>
    </cs:spPr>
  </cs:gridlineMajor>
  <cs:gridlineMinor>
    <cs:lnRef idx="1">
      <a:schemeClr val="tx1">
        <a:tint val="50000"/>
      </a:schemeClr>
    </cs:lnRef>
    <cs:fillRef idx="0"/>
    <cs:effectRef idx="0"/>
    <cs:fontRef idx="minor">
      <a:schemeClr val="tx1"/>
    </cs:fontRef>
    <cs:spPr>
      <a:ln>
        <a:round/>
      </a:ln>
    </cs:spPr>
  </cs:gridlineMinor>
  <cs:hiLoLine>
    <cs:lnRef idx="1">
      <a:schemeClr val="tx1"/>
    </cs:lnRef>
    <cs:fillRef idx="0"/>
    <cs:effectRef idx="0"/>
    <cs:fontRef idx="minor">
      <a:schemeClr val="tx1"/>
    </cs:fontRef>
    <cs:spPr>
      <a:ln>
        <a:round/>
      </a:ln>
    </cs:spPr>
  </cs:hiLoLine>
  <cs:leaderLine>
    <cs:lnRef idx="1">
      <a:schemeClr val="tx1"/>
    </cs:lnRef>
    <cs:fillRef idx="0"/>
    <cs:effectRef idx="0"/>
    <cs:fontRef idx="minor">
      <a:schemeClr val="tx1"/>
    </cs:fontRef>
    <cs:spPr>
      <a:ln>
        <a:round/>
      </a:ln>
    </cs:spPr>
  </cs:leaderLine>
  <cs:legend>
    <cs:lnRef idx="0"/>
    <cs:fillRef idx="0"/>
    <cs:effectRef idx="0"/>
    <cs:fontRef idx="minor">
      <a:schemeClr val="tx1"/>
    </cs:fontRef>
    <cs:defRPr sz="1000" kern="1200"/>
  </cs:legend>
  <cs:plotArea mods="allowNoFillOverride allowNoLineOverride">
    <cs:lnRef idx="0"/>
    <cs:fillRef idx="1">
      <a:schemeClr val="bg1"/>
    </cs:fillRef>
    <cs:effectRef idx="0"/>
    <cs:fontRef idx="minor">
      <a:schemeClr val="tx1"/>
    </cs:fontRef>
  </cs:plotArea>
  <cs:plotArea3D>
    <cs:lnRef idx="0"/>
    <cs:fillRef idx="0"/>
    <cs:effectRef idx="0"/>
    <cs:fontRef idx="minor">
      <a:schemeClr val="tx1"/>
    </cs:fontRef>
  </cs:plotArea3D>
  <cs:seriesAxis>
    <cs:lnRef idx="1">
      <a:schemeClr val="tx1">
        <a:tint val="75000"/>
      </a:schemeClr>
    </cs:lnRef>
    <cs:fillRef idx="0"/>
    <cs:effectRef idx="0"/>
    <cs:fontRef idx="minor">
      <a:schemeClr val="tx1"/>
    </cs:fontRef>
    <cs:spPr>
      <a:ln>
        <a:round/>
      </a:ln>
    </cs:spPr>
    <cs:defRPr sz="1000" kern="1200"/>
  </cs:seriesAxis>
  <cs:seriesLine>
    <cs:lnRef idx="1">
      <a:schemeClr val="tx1"/>
    </cs:lnRef>
    <cs:fillRef idx="0"/>
    <cs:effectRef idx="0"/>
    <cs:fontRef idx="minor">
      <a:schemeClr val="tx1"/>
    </cs:fontRef>
    <cs:spPr>
      <a:ln>
        <a:round/>
      </a:ln>
    </cs:spPr>
  </cs:seriesLine>
  <cs:title>
    <cs:lnRef idx="0"/>
    <cs:fillRef idx="0"/>
    <cs:effectRef idx="0"/>
    <cs:fontRef idx="minor">
      <a:schemeClr val="tx1"/>
    </cs:fontRef>
    <cs:defRPr sz="1800" b="1" kern="1200"/>
  </cs:title>
  <cs:trendline>
    <cs:lnRef idx="1">
      <a:schemeClr val="tx1"/>
    </cs:lnRef>
    <cs:fillRef idx="0"/>
    <cs:effectRef idx="0"/>
    <cs:fontRef idx="minor">
      <a:schemeClr val="tx1"/>
    </cs:fontRef>
    <cs:spPr>
      <a:ln cap="rnd">
        <a:round/>
      </a:ln>
    </cs:spPr>
  </cs:trendline>
  <cs:trendlineLabel>
    <cs:lnRef idx="0"/>
    <cs:fillRef idx="0"/>
    <cs:effectRef idx="0"/>
    <cs:fontRef idx="minor">
      <a:schemeClr val="tx1"/>
    </cs:fontRef>
    <cs:defRPr sz="1000" kern="1200"/>
  </cs:trendlineLabel>
  <cs:upBar>
    <cs:lnRef idx="1">
      <a:schemeClr val="tx1"/>
    </cs:lnRef>
    <cs:fillRef idx="1">
      <a:schemeClr val="dk1">
        <a:tint val="5000"/>
      </a:schemeClr>
    </cs:fillRef>
    <cs:effectRef idx="0"/>
    <cs:fontRef idx="minor">
      <a:schemeClr val="tx1"/>
    </cs:fontRef>
    <cs:spPr>
      <a:ln>
        <a:round/>
      </a:ln>
    </cs:spPr>
  </cs:upBar>
  <cs:valueAxis>
    <cs:lnRef idx="1">
      <a:schemeClr val="tx1">
        <a:tint val="75000"/>
      </a:schemeClr>
    </cs:lnRef>
    <cs:fillRef idx="0"/>
    <cs:effectRef idx="0"/>
    <cs:fontRef idx="minor">
      <a:schemeClr val="tx1"/>
    </cs:fontRef>
    <cs:spPr>
      <a:ln>
        <a:round/>
      </a:ln>
    </cs:spPr>
    <cs:defRPr sz="1000" kern="1200"/>
  </cs:valueAxis>
  <cs:wall>
    <cs:lnRef idx="0"/>
    <cs:fillRef idx="0"/>
    <cs:effectRef idx="0"/>
    <cs:fontRef idx="minor">
      <a:schemeClr val="tx1"/>
    </cs:fontRef>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9.xml"/><Relationship Id="rId2" Type="http://schemas.openxmlformats.org/officeDocument/2006/relationships/chart" Target="../charts/chart8.xml"/><Relationship Id="rId1" Type="http://schemas.openxmlformats.org/officeDocument/2006/relationships/chart" Target="../charts/chart7.xml"/><Relationship Id="rId5" Type="http://schemas.openxmlformats.org/officeDocument/2006/relationships/chart" Target="../charts/chart11.xml"/><Relationship Id="rId4"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21</xdr:col>
      <xdr:colOff>441960</xdr:colOff>
      <xdr:row>21</xdr:row>
      <xdr:rowOff>152400</xdr:rowOff>
    </xdr:from>
    <xdr:to>
      <xdr:col>25</xdr:col>
      <xdr:colOff>495300</xdr:colOff>
      <xdr:row>32</xdr:row>
      <xdr:rowOff>0</xdr:rowOff>
    </xdr:to>
    <xdr:graphicFrame macro="">
      <xdr:nvGraphicFramePr>
        <xdr:cNvPr id="2" name="Chart 1">
          <a:extLst>
            <a:ext uri="{FF2B5EF4-FFF2-40B4-BE49-F238E27FC236}">
              <a16:creationId xmlns:a16="http://schemas.microsoft.com/office/drawing/2014/main" id="{47ED2257-59DA-3E33-7A5A-7796813BFBA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182880</xdr:colOff>
      <xdr:row>11</xdr:row>
      <xdr:rowOff>0</xdr:rowOff>
    </xdr:from>
    <xdr:to>
      <xdr:col>17</xdr:col>
      <xdr:colOff>502920</xdr:colOff>
      <xdr:row>26</xdr:row>
      <xdr:rowOff>0</xdr:rowOff>
    </xdr:to>
    <xdr:graphicFrame macro="">
      <xdr:nvGraphicFramePr>
        <xdr:cNvPr id="3" name="Chart 2">
          <a:extLst>
            <a:ext uri="{FF2B5EF4-FFF2-40B4-BE49-F238E27FC236}">
              <a16:creationId xmlns:a16="http://schemas.microsoft.com/office/drawing/2014/main" id="{ED3A3B52-49EF-C5D3-28AD-DBAADD8FA0C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304800</xdr:colOff>
      <xdr:row>6</xdr:row>
      <xdr:rowOff>148590</xdr:rowOff>
    </xdr:from>
    <xdr:to>
      <xdr:col>6</xdr:col>
      <xdr:colOff>160020</xdr:colOff>
      <xdr:row>21</xdr:row>
      <xdr:rowOff>148590</xdr:rowOff>
    </xdr:to>
    <xdr:graphicFrame macro="">
      <xdr:nvGraphicFramePr>
        <xdr:cNvPr id="4" name="Chart 3">
          <a:extLst>
            <a:ext uri="{FF2B5EF4-FFF2-40B4-BE49-F238E27FC236}">
              <a16:creationId xmlns:a16="http://schemas.microsoft.com/office/drawing/2014/main" id="{28014146-C302-28FC-C2DE-53A6DBE6ED2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37</xdr:col>
      <xdr:colOff>647700</xdr:colOff>
      <xdr:row>11</xdr:row>
      <xdr:rowOff>133350</xdr:rowOff>
    </xdr:from>
    <xdr:to>
      <xdr:col>44</xdr:col>
      <xdr:colOff>7620</xdr:colOff>
      <xdr:row>26</xdr:row>
      <xdr:rowOff>133350</xdr:rowOff>
    </xdr:to>
    <xdr:graphicFrame macro="">
      <xdr:nvGraphicFramePr>
        <xdr:cNvPr id="6" name="Chart 5">
          <a:extLst>
            <a:ext uri="{FF2B5EF4-FFF2-40B4-BE49-F238E27FC236}">
              <a16:creationId xmlns:a16="http://schemas.microsoft.com/office/drawing/2014/main" id="{7CBB598E-2D1F-E1E4-6C96-7276A1F09FE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49</xdr:col>
      <xdr:colOff>60960</xdr:colOff>
      <xdr:row>6</xdr:row>
      <xdr:rowOff>38100</xdr:rowOff>
    </xdr:from>
    <xdr:to>
      <xdr:col>55</xdr:col>
      <xdr:colOff>167640</xdr:colOff>
      <xdr:row>16</xdr:row>
      <xdr:rowOff>49530</xdr:rowOff>
    </xdr:to>
    <xdr:graphicFrame macro="">
      <xdr:nvGraphicFramePr>
        <xdr:cNvPr id="7" name="Chart 6">
          <a:extLst>
            <a:ext uri="{FF2B5EF4-FFF2-40B4-BE49-F238E27FC236}">
              <a16:creationId xmlns:a16="http://schemas.microsoft.com/office/drawing/2014/main" id="{BA9C0C02-D7AA-C288-74FC-550D28B62AE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5</xdr:col>
      <xdr:colOff>525780</xdr:colOff>
      <xdr:row>6</xdr:row>
      <xdr:rowOff>0</xdr:rowOff>
    </xdr:from>
    <xdr:to>
      <xdr:col>8</xdr:col>
      <xdr:colOff>525780</xdr:colOff>
      <xdr:row>19</xdr:row>
      <xdr:rowOff>89535</xdr:rowOff>
    </xdr:to>
    <mc:AlternateContent xmlns:mc="http://schemas.openxmlformats.org/markup-compatibility/2006" xmlns:a14="http://schemas.microsoft.com/office/drawing/2010/main">
      <mc:Choice Requires="a14">
        <xdr:graphicFrame macro="">
          <xdr:nvGraphicFramePr>
            <xdr:cNvPr id="8" name="Branch">
              <a:extLst>
                <a:ext uri="{FF2B5EF4-FFF2-40B4-BE49-F238E27FC236}">
                  <a16:creationId xmlns:a16="http://schemas.microsoft.com/office/drawing/2014/main" id="{2685B887-2C1A-9293-1679-7913C1D75411}"/>
                </a:ext>
              </a:extLst>
            </xdr:cNvPr>
            <xdr:cNvGraphicFramePr/>
          </xdr:nvGraphicFramePr>
          <xdr:xfrm>
            <a:off x="0" y="0"/>
            <a:ext cx="0" cy="0"/>
          </xdr:xfrm>
          <a:graphic>
            <a:graphicData uri="http://schemas.microsoft.com/office/drawing/2010/slicer">
              <sle:slicer xmlns:sle="http://schemas.microsoft.com/office/drawing/2010/slicer" name="Branch"/>
            </a:graphicData>
          </a:graphic>
        </xdr:graphicFrame>
      </mc:Choice>
      <mc:Fallback xmlns="">
        <xdr:sp macro="" textlink="">
          <xdr:nvSpPr>
            <xdr:cNvPr id="0" name=""/>
            <xdr:cNvSpPr>
              <a:spLocks noTextEdit="1"/>
            </xdr:cNvSpPr>
          </xdr:nvSpPr>
          <xdr:spPr>
            <a:xfrm>
              <a:off x="4632960" y="109728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60960</xdr:colOff>
      <xdr:row>4</xdr:row>
      <xdr:rowOff>85725</xdr:rowOff>
    </xdr:from>
    <xdr:to>
      <xdr:col>12</xdr:col>
      <xdr:colOff>137160</xdr:colOff>
      <xdr:row>17</xdr:row>
      <xdr:rowOff>175260</xdr:rowOff>
    </xdr:to>
    <mc:AlternateContent xmlns:mc="http://schemas.openxmlformats.org/markup-compatibility/2006">
      <mc:Choice xmlns:a14="http://schemas.microsoft.com/office/drawing/2010/main" Requires="a14">
        <xdr:graphicFrame macro="">
          <xdr:nvGraphicFramePr>
            <xdr:cNvPr id="9" name="Product_Line">
              <a:extLst>
                <a:ext uri="{FF2B5EF4-FFF2-40B4-BE49-F238E27FC236}">
                  <a16:creationId xmlns:a16="http://schemas.microsoft.com/office/drawing/2014/main" id="{8323DD9A-7486-B705-6F42-17A853C34BBA}"/>
                </a:ext>
              </a:extLst>
            </xdr:cNvPr>
            <xdr:cNvGraphicFramePr/>
          </xdr:nvGraphicFramePr>
          <xdr:xfrm>
            <a:off x="0" y="0"/>
            <a:ext cx="0" cy="0"/>
          </xdr:xfrm>
          <a:graphic>
            <a:graphicData uri="http://schemas.microsoft.com/office/drawing/2010/slicer">
              <sle:slicer xmlns:sle="http://schemas.microsoft.com/office/drawing/2010/slicer" name="Product_Line"/>
            </a:graphicData>
          </a:graphic>
        </xdr:graphicFrame>
      </mc:Choice>
      <mc:Fallback>
        <xdr:sp macro="" textlink="">
          <xdr:nvSpPr>
            <xdr:cNvPr id="0" name=""/>
            <xdr:cNvSpPr>
              <a:spLocks noTextEdit="1"/>
            </xdr:cNvSpPr>
          </xdr:nvSpPr>
          <xdr:spPr>
            <a:xfrm>
              <a:off x="7216140" y="817245"/>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26</xdr:col>
      <xdr:colOff>7620</xdr:colOff>
      <xdr:row>11</xdr:row>
      <xdr:rowOff>0</xdr:rowOff>
    </xdr:from>
    <xdr:to>
      <xdr:col>29</xdr:col>
      <xdr:colOff>7620</xdr:colOff>
      <xdr:row>24</xdr:row>
      <xdr:rowOff>89535</xdr:rowOff>
    </xdr:to>
    <mc:AlternateContent xmlns:mc="http://schemas.openxmlformats.org/markup-compatibility/2006">
      <mc:Choice xmlns:a14="http://schemas.microsoft.com/office/drawing/2010/main" Requires="a14">
        <xdr:graphicFrame macro="">
          <xdr:nvGraphicFramePr>
            <xdr:cNvPr id="5" name="sales by month">
              <a:extLst>
                <a:ext uri="{FF2B5EF4-FFF2-40B4-BE49-F238E27FC236}">
                  <a16:creationId xmlns:a16="http://schemas.microsoft.com/office/drawing/2014/main" id="{DA2848D6-3A6C-CB4F-C788-0C66746BDB38}"/>
                </a:ext>
              </a:extLst>
            </xdr:cNvPr>
            <xdr:cNvGraphicFramePr/>
          </xdr:nvGraphicFramePr>
          <xdr:xfrm>
            <a:off x="0" y="0"/>
            <a:ext cx="0" cy="0"/>
          </xdr:xfrm>
          <a:graphic>
            <a:graphicData uri="http://schemas.microsoft.com/office/drawing/2010/slicer">
              <sle:slicer xmlns:sle="http://schemas.microsoft.com/office/drawing/2010/slicer" name="sales by month"/>
            </a:graphicData>
          </a:graphic>
        </xdr:graphicFrame>
      </mc:Choice>
      <mc:Fallback>
        <xdr:sp macro="" textlink="">
          <xdr:nvSpPr>
            <xdr:cNvPr id="0" name=""/>
            <xdr:cNvSpPr>
              <a:spLocks noTextEdit="1"/>
            </xdr:cNvSpPr>
          </xdr:nvSpPr>
          <xdr:spPr>
            <a:xfrm>
              <a:off x="18813780" y="201168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38</xdr:col>
      <xdr:colOff>281940</xdr:colOff>
      <xdr:row>7</xdr:row>
      <xdr:rowOff>0</xdr:rowOff>
    </xdr:from>
    <xdr:to>
      <xdr:col>40</xdr:col>
      <xdr:colOff>480060</xdr:colOff>
      <xdr:row>20</xdr:row>
      <xdr:rowOff>89535</xdr:rowOff>
    </xdr:to>
    <mc:AlternateContent xmlns:mc="http://schemas.openxmlformats.org/markup-compatibility/2006">
      <mc:Choice xmlns:a14="http://schemas.microsoft.com/office/drawing/2010/main" Requires="a14">
        <xdr:graphicFrame macro="">
          <xdr:nvGraphicFramePr>
            <xdr:cNvPr id="11" name="Product_Line 2">
              <a:extLst>
                <a:ext uri="{FF2B5EF4-FFF2-40B4-BE49-F238E27FC236}">
                  <a16:creationId xmlns:a16="http://schemas.microsoft.com/office/drawing/2014/main" id="{A7438A83-3DB8-C511-9A15-4747EDA4E9AD}"/>
                </a:ext>
              </a:extLst>
            </xdr:cNvPr>
            <xdr:cNvGraphicFramePr/>
          </xdr:nvGraphicFramePr>
          <xdr:xfrm>
            <a:off x="0" y="0"/>
            <a:ext cx="0" cy="0"/>
          </xdr:xfrm>
          <a:graphic>
            <a:graphicData uri="http://schemas.microsoft.com/office/drawing/2010/slicer">
              <sle:slicer xmlns:sle="http://schemas.microsoft.com/office/drawing/2010/slicer" name="Product_Line 2"/>
            </a:graphicData>
          </a:graphic>
        </xdr:graphicFrame>
      </mc:Choice>
      <mc:Fallback>
        <xdr:sp macro="" textlink="">
          <xdr:nvSpPr>
            <xdr:cNvPr id="0" name=""/>
            <xdr:cNvSpPr>
              <a:spLocks noTextEdit="1"/>
            </xdr:cNvSpPr>
          </xdr:nvSpPr>
          <xdr:spPr>
            <a:xfrm>
              <a:off x="26936700" y="128016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49</xdr:col>
      <xdr:colOff>205740</xdr:colOff>
      <xdr:row>7</xdr:row>
      <xdr:rowOff>0</xdr:rowOff>
    </xdr:from>
    <xdr:to>
      <xdr:col>52</xdr:col>
      <xdr:colOff>205740</xdr:colOff>
      <xdr:row>20</xdr:row>
      <xdr:rowOff>89535</xdr:rowOff>
    </xdr:to>
    <mc:AlternateContent xmlns:mc="http://schemas.openxmlformats.org/markup-compatibility/2006">
      <mc:Choice xmlns:a14="http://schemas.microsoft.com/office/drawing/2010/main" Requires="a14">
        <xdr:graphicFrame macro="">
          <xdr:nvGraphicFramePr>
            <xdr:cNvPr id="12" name="Customer_Type">
              <a:extLst>
                <a:ext uri="{FF2B5EF4-FFF2-40B4-BE49-F238E27FC236}">
                  <a16:creationId xmlns:a16="http://schemas.microsoft.com/office/drawing/2014/main" id="{5812D6D9-5AE4-5A80-CDA4-DA2AA71E1FBD}"/>
                </a:ext>
              </a:extLst>
            </xdr:cNvPr>
            <xdr:cNvGraphicFramePr/>
          </xdr:nvGraphicFramePr>
          <xdr:xfrm>
            <a:off x="0" y="0"/>
            <a:ext cx="0" cy="0"/>
          </xdr:xfrm>
          <a:graphic>
            <a:graphicData uri="http://schemas.microsoft.com/office/drawing/2010/slicer">
              <sle:slicer xmlns:sle="http://schemas.microsoft.com/office/drawing/2010/slicer" name="Customer_Type"/>
            </a:graphicData>
          </a:graphic>
        </xdr:graphicFrame>
      </mc:Choice>
      <mc:Fallback>
        <xdr:sp macro="" textlink="">
          <xdr:nvSpPr>
            <xdr:cNvPr id="0" name=""/>
            <xdr:cNvSpPr>
              <a:spLocks noTextEdit="1"/>
            </xdr:cNvSpPr>
          </xdr:nvSpPr>
          <xdr:spPr>
            <a:xfrm>
              <a:off x="33977580" y="128016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60</xdr:col>
      <xdr:colOff>327660</xdr:colOff>
      <xdr:row>8</xdr:row>
      <xdr:rowOff>156210</xdr:rowOff>
    </xdr:from>
    <xdr:to>
      <xdr:col>67</xdr:col>
      <xdr:colOff>381000</xdr:colOff>
      <xdr:row>23</xdr:row>
      <xdr:rowOff>156210</xdr:rowOff>
    </xdr:to>
    <xdr:graphicFrame macro="">
      <xdr:nvGraphicFramePr>
        <xdr:cNvPr id="13" name="Chart 12">
          <a:extLst>
            <a:ext uri="{FF2B5EF4-FFF2-40B4-BE49-F238E27FC236}">
              <a16:creationId xmlns:a16="http://schemas.microsoft.com/office/drawing/2014/main" id="{D167F0D5-A5CC-58F5-7962-6EEA8937946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65</xdr:col>
      <xdr:colOff>68580</xdr:colOff>
      <xdr:row>7</xdr:row>
      <xdr:rowOff>7620</xdr:rowOff>
    </xdr:from>
    <xdr:to>
      <xdr:col>67</xdr:col>
      <xdr:colOff>426720</xdr:colOff>
      <xdr:row>20</xdr:row>
      <xdr:rowOff>97155</xdr:rowOff>
    </xdr:to>
    <mc:AlternateContent xmlns:mc="http://schemas.openxmlformats.org/markup-compatibility/2006">
      <mc:Choice xmlns:a14="http://schemas.microsoft.com/office/drawing/2010/main" Requires="a14">
        <xdr:graphicFrame macro="">
          <xdr:nvGraphicFramePr>
            <xdr:cNvPr id="14" name="Payment">
              <a:extLst>
                <a:ext uri="{FF2B5EF4-FFF2-40B4-BE49-F238E27FC236}">
                  <a16:creationId xmlns:a16="http://schemas.microsoft.com/office/drawing/2014/main" id="{3F7A8B34-8AA9-8B98-4BB5-3A451CBBB3B0}"/>
                </a:ext>
              </a:extLst>
            </xdr:cNvPr>
            <xdr:cNvGraphicFramePr/>
          </xdr:nvGraphicFramePr>
          <xdr:xfrm>
            <a:off x="0" y="0"/>
            <a:ext cx="0" cy="0"/>
          </xdr:xfrm>
          <a:graphic>
            <a:graphicData uri="http://schemas.microsoft.com/office/drawing/2010/slicer">
              <sle:slicer xmlns:sle="http://schemas.microsoft.com/office/drawing/2010/slicer" name="Payment"/>
            </a:graphicData>
          </a:graphic>
        </xdr:graphicFrame>
      </mc:Choice>
      <mc:Fallback>
        <xdr:sp macro="" textlink="">
          <xdr:nvSpPr>
            <xdr:cNvPr id="0" name=""/>
            <xdr:cNvSpPr>
              <a:spLocks noTextEdit="1"/>
            </xdr:cNvSpPr>
          </xdr:nvSpPr>
          <xdr:spPr>
            <a:xfrm>
              <a:off x="44401740" y="128778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0</xdr:rowOff>
    </xdr:from>
    <xdr:to>
      <xdr:col>31</xdr:col>
      <xdr:colOff>327660</xdr:colOff>
      <xdr:row>64</xdr:row>
      <xdr:rowOff>137160</xdr:rowOff>
    </xdr:to>
    <xdr:sp macro="" textlink="">
      <xdr:nvSpPr>
        <xdr:cNvPr id="2" name="Rectangle 1">
          <a:extLst>
            <a:ext uri="{FF2B5EF4-FFF2-40B4-BE49-F238E27FC236}">
              <a16:creationId xmlns:a16="http://schemas.microsoft.com/office/drawing/2014/main" id="{15E3993A-7295-E785-DCEC-7F21551F8C34}"/>
            </a:ext>
          </a:extLst>
        </xdr:cNvPr>
        <xdr:cNvSpPr/>
      </xdr:nvSpPr>
      <xdr:spPr>
        <a:xfrm>
          <a:off x="0" y="0"/>
          <a:ext cx="19225260" cy="11841480"/>
        </a:xfrm>
        <a:prstGeom prst="rect">
          <a:avLst/>
        </a:prstGeom>
        <a:gradFill>
          <a:gsLst>
            <a:gs pos="100000">
              <a:srgbClr val="FFCCCB"/>
            </a:gs>
            <a:gs pos="0">
              <a:schemeClr val="accent2">
                <a:tint val="50000"/>
                <a:satMod val="300000"/>
              </a:schemeClr>
            </a:gs>
            <a:gs pos="35000">
              <a:schemeClr val="accent2">
                <a:tint val="37000"/>
                <a:satMod val="300000"/>
              </a:schemeClr>
            </a:gs>
            <a:gs pos="100000">
              <a:schemeClr val="accent2">
                <a:tint val="15000"/>
                <a:satMod val="350000"/>
              </a:schemeClr>
            </a:gs>
          </a:gsLst>
        </a:gradFill>
      </xdr:spPr>
      <xdr:style>
        <a:lnRef idx="1">
          <a:schemeClr val="accent2"/>
        </a:lnRef>
        <a:fillRef idx="2">
          <a:schemeClr val="accent2"/>
        </a:fillRef>
        <a:effectRef idx="1">
          <a:schemeClr val="accent2"/>
        </a:effectRef>
        <a:fontRef idx="minor">
          <a:schemeClr val="dk1"/>
        </a:fontRef>
      </xdr:style>
      <xdr:txBody>
        <a:bodyPr vertOverflow="clip" horzOverflow="clip" rtlCol="0" anchor="t"/>
        <a:lstStyle/>
        <a:p>
          <a:pPr algn="l"/>
          <a:endParaRPr lang="en-IN" sz="1100"/>
        </a:p>
      </xdr:txBody>
    </xdr:sp>
    <xdr:clientData/>
  </xdr:twoCellAnchor>
  <xdr:twoCellAnchor>
    <xdr:from>
      <xdr:col>0</xdr:col>
      <xdr:colOff>0</xdr:colOff>
      <xdr:row>0</xdr:row>
      <xdr:rowOff>0</xdr:rowOff>
    </xdr:from>
    <xdr:to>
      <xdr:col>4</xdr:col>
      <xdr:colOff>205740</xdr:colOff>
      <xdr:row>65</xdr:row>
      <xdr:rowOff>76200</xdr:rowOff>
    </xdr:to>
    <xdr:sp macro="" textlink="">
      <xdr:nvSpPr>
        <xdr:cNvPr id="3" name="Rectangle 2">
          <a:extLst>
            <a:ext uri="{FF2B5EF4-FFF2-40B4-BE49-F238E27FC236}">
              <a16:creationId xmlns:a16="http://schemas.microsoft.com/office/drawing/2014/main" id="{6444BD97-E7A0-AF04-4337-6D09C7D348E1}"/>
            </a:ext>
          </a:extLst>
        </xdr:cNvPr>
        <xdr:cNvSpPr/>
      </xdr:nvSpPr>
      <xdr:spPr>
        <a:xfrm>
          <a:off x="0" y="0"/>
          <a:ext cx="2644140" cy="11963400"/>
        </a:xfrm>
        <a:prstGeom prst="rect">
          <a:avLst/>
        </a:prstGeom>
      </xdr:spPr>
      <xdr:style>
        <a:lnRef idx="2">
          <a:schemeClr val="accent2">
            <a:shade val="15000"/>
          </a:schemeClr>
        </a:lnRef>
        <a:fillRef idx="1">
          <a:schemeClr val="accent2"/>
        </a:fillRef>
        <a:effectRef idx="0">
          <a:schemeClr val="accent2"/>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0</xdr:colOff>
      <xdr:row>0</xdr:row>
      <xdr:rowOff>0</xdr:rowOff>
    </xdr:from>
    <xdr:to>
      <xdr:col>24</xdr:col>
      <xdr:colOff>350520</xdr:colOff>
      <xdr:row>3</xdr:row>
      <xdr:rowOff>91440</xdr:rowOff>
    </xdr:to>
    <xdr:sp macro="" textlink="">
      <xdr:nvSpPr>
        <xdr:cNvPr id="4" name="Rectangle 3">
          <a:extLst>
            <a:ext uri="{FF2B5EF4-FFF2-40B4-BE49-F238E27FC236}">
              <a16:creationId xmlns:a16="http://schemas.microsoft.com/office/drawing/2014/main" id="{A92BA6E2-475B-762F-0B35-6902FA66D887}"/>
            </a:ext>
          </a:extLst>
        </xdr:cNvPr>
        <xdr:cNvSpPr/>
      </xdr:nvSpPr>
      <xdr:spPr>
        <a:xfrm>
          <a:off x="0" y="0"/>
          <a:ext cx="14980920" cy="640080"/>
        </a:xfrm>
        <a:prstGeom prst="rect">
          <a:avLst/>
        </a:prstGeom>
      </xdr:spPr>
      <xdr:style>
        <a:lnRef idx="1">
          <a:schemeClr val="accent2"/>
        </a:lnRef>
        <a:fillRef idx="2">
          <a:schemeClr val="accent2"/>
        </a:fillRef>
        <a:effectRef idx="1">
          <a:schemeClr val="accent2"/>
        </a:effectRef>
        <a:fontRef idx="minor">
          <a:schemeClr val="dk1"/>
        </a:fontRef>
      </xdr:style>
      <xdr:txBody>
        <a:bodyPr vertOverflow="clip" horzOverflow="clip" rtlCol="0" anchor="t"/>
        <a:lstStyle/>
        <a:p>
          <a:pPr algn="l"/>
          <a:r>
            <a:rPr lang="en-IN" sz="1100" baseline="0"/>
            <a:t>                                                                                                                                     </a:t>
          </a:r>
          <a:r>
            <a:rPr lang="en-IN" sz="3600" baseline="0"/>
            <a:t>Supermarket  Sales  Dashboard</a:t>
          </a:r>
          <a:endParaRPr lang="en-IN" sz="1100"/>
        </a:p>
      </xdr:txBody>
    </xdr:sp>
    <xdr:clientData/>
  </xdr:twoCellAnchor>
  <xdr:twoCellAnchor>
    <xdr:from>
      <xdr:col>4</xdr:col>
      <xdr:colOff>281940</xdr:colOff>
      <xdr:row>3</xdr:row>
      <xdr:rowOff>137160</xdr:rowOff>
    </xdr:from>
    <xdr:to>
      <xdr:col>14</xdr:col>
      <xdr:colOff>144780</xdr:colOff>
      <xdr:row>18</xdr:row>
      <xdr:rowOff>152400</xdr:rowOff>
    </xdr:to>
    <xdr:graphicFrame macro="">
      <xdr:nvGraphicFramePr>
        <xdr:cNvPr id="5" name="Chart 4">
          <a:extLst>
            <a:ext uri="{FF2B5EF4-FFF2-40B4-BE49-F238E27FC236}">
              <a16:creationId xmlns:a16="http://schemas.microsoft.com/office/drawing/2014/main" id="{54243AA1-7B0D-439A-9B18-167CEC43821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16</xdr:col>
      <xdr:colOff>533400</xdr:colOff>
      <xdr:row>19</xdr:row>
      <xdr:rowOff>152400</xdr:rowOff>
    </xdr:from>
    <xdr:to>
      <xdr:col>23</xdr:col>
      <xdr:colOff>121920</xdr:colOff>
      <xdr:row>35</xdr:row>
      <xdr:rowOff>160020</xdr:rowOff>
    </xdr:to>
    <xdr:graphicFrame macro="">
      <xdr:nvGraphicFramePr>
        <xdr:cNvPr id="6" name="Chart 5">
          <a:extLst>
            <a:ext uri="{FF2B5EF4-FFF2-40B4-BE49-F238E27FC236}">
              <a16:creationId xmlns:a16="http://schemas.microsoft.com/office/drawing/2014/main" id="{150660DA-B94F-42C2-B1FE-854BC63887C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91440</xdr:colOff>
      <xdr:row>19</xdr:row>
      <xdr:rowOff>160020</xdr:rowOff>
    </xdr:from>
    <xdr:to>
      <xdr:col>16</xdr:col>
      <xdr:colOff>457200</xdr:colOff>
      <xdr:row>36</xdr:row>
      <xdr:rowOff>7620</xdr:rowOff>
    </xdr:to>
    <xdr:graphicFrame macro="">
      <xdr:nvGraphicFramePr>
        <xdr:cNvPr id="7" name="Chart 6">
          <a:extLst>
            <a:ext uri="{FF2B5EF4-FFF2-40B4-BE49-F238E27FC236}">
              <a16:creationId xmlns:a16="http://schemas.microsoft.com/office/drawing/2014/main" id="{0E75ECE4-DBE9-465E-8D39-7C49382BC96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14</xdr:col>
      <xdr:colOff>472440</xdr:colOff>
      <xdr:row>3</xdr:row>
      <xdr:rowOff>129540</xdr:rowOff>
    </xdr:from>
    <xdr:to>
      <xdr:col>22</xdr:col>
      <xdr:colOff>464820</xdr:colOff>
      <xdr:row>18</xdr:row>
      <xdr:rowOff>175260</xdr:rowOff>
    </xdr:to>
    <xdr:graphicFrame macro="">
      <xdr:nvGraphicFramePr>
        <xdr:cNvPr id="9" name="Chart 8">
          <a:extLst>
            <a:ext uri="{FF2B5EF4-FFF2-40B4-BE49-F238E27FC236}">
              <a16:creationId xmlns:a16="http://schemas.microsoft.com/office/drawing/2014/main" id="{80CA739B-1A38-41D0-B080-691FA4948F7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0</xdr:col>
      <xdr:colOff>83820</xdr:colOff>
      <xdr:row>29</xdr:row>
      <xdr:rowOff>7620</xdr:rowOff>
    </xdr:from>
    <xdr:to>
      <xdr:col>4</xdr:col>
      <xdr:colOff>83820</xdr:colOff>
      <xdr:row>38</xdr:row>
      <xdr:rowOff>22860</xdr:rowOff>
    </xdr:to>
    <mc:AlternateContent xmlns:mc="http://schemas.openxmlformats.org/markup-compatibility/2006">
      <mc:Choice xmlns:a14="http://schemas.microsoft.com/office/drawing/2010/main" Requires="a14">
        <xdr:graphicFrame macro="">
          <xdr:nvGraphicFramePr>
            <xdr:cNvPr id="11" name="Product_Line 1">
              <a:extLst>
                <a:ext uri="{FF2B5EF4-FFF2-40B4-BE49-F238E27FC236}">
                  <a16:creationId xmlns:a16="http://schemas.microsoft.com/office/drawing/2014/main" id="{BE738C2B-88D6-433D-8666-83E0B74B9D2C}"/>
                </a:ext>
              </a:extLst>
            </xdr:cNvPr>
            <xdr:cNvGraphicFramePr/>
          </xdr:nvGraphicFramePr>
          <xdr:xfrm>
            <a:off x="0" y="0"/>
            <a:ext cx="0" cy="0"/>
          </xdr:xfrm>
          <a:graphic>
            <a:graphicData uri="http://schemas.microsoft.com/office/drawing/2010/slicer">
              <sle:slicer xmlns:sle="http://schemas.microsoft.com/office/drawing/2010/slicer" name="Product_Line 1"/>
            </a:graphicData>
          </a:graphic>
        </xdr:graphicFrame>
      </mc:Choice>
      <mc:Fallback>
        <xdr:sp macro="" textlink="">
          <xdr:nvSpPr>
            <xdr:cNvPr id="0" name=""/>
            <xdr:cNvSpPr>
              <a:spLocks noTextEdit="1"/>
            </xdr:cNvSpPr>
          </xdr:nvSpPr>
          <xdr:spPr>
            <a:xfrm>
              <a:off x="83820" y="5311140"/>
              <a:ext cx="2438400" cy="16611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121920</xdr:colOff>
      <xdr:row>3</xdr:row>
      <xdr:rowOff>137161</xdr:rowOff>
    </xdr:from>
    <xdr:to>
      <xdr:col>4</xdr:col>
      <xdr:colOff>152400</xdr:colOff>
      <xdr:row>10</xdr:row>
      <xdr:rowOff>114300</xdr:rowOff>
    </xdr:to>
    <mc:AlternateContent xmlns:mc="http://schemas.openxmlformats.org/markup-compatibility/2006">
      <mc:Choice xmlns:a14="http://schemas.microsoft.com/office/drawing/2010/main" Requires="a14">
        <xdr:graphicFrame macro="">
          <xdr:nvGraphicFramePr>
            <xdr:cNvPr id="10" name="dashboard">
              <a:extLst>
                <a:ext uri="{FF2B5EF4-FFF2-40B4-BE49-F238E27FC236}">
                  <a16:creationId xmlns:a16="http://schemas.microsoft.com/office/drawing/2014/main" id="{5D9D31B9-90DA-4C24-ACA9-FC735284F985}"/>
                </a:ext>
              </a:extLst>
            </xdr:cNvPr>
            <xdr:cNvGraphicFramePr/>
          </xdr:nvGraphicFramePr>
          <xdr:xfrm>
            <a:off x="0" y="0"/>
            <a:ext cx="0" cy="0"/>
          </xdr:xfrm>
          <a:graphic>
            <a:graphicData uri="http://schemas.microsoft.com/office/drawing/2010/slicer">
              <sle:slicer xmlns:sle="http://schemas.microsoft.com/office/drawing/2010/slicer" name="dashboard"/>
            </a:graphicData>
          </a:graphic>
        </xdr:graphicFrame>
      </mc:Choice>
      <mc:Fallback>
        <xdr:sp macro="" textlink="">
          <xdr:nvSpPr>
            <xdr:cNvPr id="0" name=""/>
            <xdr:cNvSpPr>
              <a:spLocks noTextEdit="1"/>
            </xdr:cNvSpPr>
          </xdr:nvSpPr>
          <xdr:spPr>
            <a:xfrm>
              <a:off x="121920" y="685801"/>
              <a:ext cx="2468880" cy="125729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114300</xdr:colOff>
      <xdr:row>10</xdr:row>
      <xdr:rowOff>129540</xdr:rowOff>
    </xdr:from>
    <xdr:to>
      <xdr:col>4</xdr:col>
      <xdr:colOff>137160</xdr:colOff>
      <xdr:row>17</xdr:row>
      <xdr:rowOff>38100</xdr:rowOff>
    </xdr:to>
    <mc:AlternateContent xmlns:mc="http://schemas.openxmlformats.org/markup-compatibility/2006">
      <mc:Choice xmlns:a14="http://schemas.microsoft.com/office/drawing/2010/main" Requires="a14">
        <xdr:graphicFrame macro="">
          <xdr:nvGraphicFramePr>
            <xdr:cNvPr id="12" name="sales by month 1">
              <a:extLst>
                <a:ext uri="{FF2B5EF4-FFF2-40B4-BE49-F238E27FC236}">
                  <a16:creationId xmlns:a16="http://schemas.microsoft.com/office/drawing/2014/main" id="{13F300C1-21C1-4625-A53A-A01B070D2A7F}"/>
                </a:ext>
              </a:extLst>
            </xdr:cNvPr>
            <xdr:cNvGraphicFramePr/>
          </xdr:nvGraphicFramePr>
          <xdr:xfrm>
            <a:off x="0" y="0"/>
            <a:ext cx="0" cy="0"/>
          </xdr:xfrm>
          <a:graphic>
            <a:graphicData uri="http://schemas.microsoft.com/office/drawing/2010/slicer">
              <sle:slicer xmlns:sle="http://schemas.microsoft.com/office/drawing/2010/slicer" name="sales by month 1"/>
            </a:graphicData>
          </a:graphic>
        </xdr:graphicFrame>
      </mc:Choice>
      <mc:Fallback>
        <xdr:sp macro="" textlink="">
          <xdr:nvSpPr>
            <xdr:cNvPr id="0" name=""/>
            <xdr:cNvSpPr>
              <a:spLocks noTextEdit="1"/>
            </xdr:cNvSpPr>
          </xdr:nvSpPr>
          <xdr:spPr>
            <a:xfrm>
              <a:off x="114300" y="1958340"/>
              <a:ext cx="2461260" cy="11887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144780</xdr:colOff>
      <xdr:row>24</xdr:row>
      <xdr:rowOff>7621</xdr:rowOff>
    </xdr:from>
    <xdr:to>
      <xdr:col>4</xdr:col>
      <xdr:colOff>129540</xdr:colOff>
      <xdr:row>29</xdr:row>
      <xdr:rowOff>0</xdr:rowOff>
    </xdr:to>
    <mc:AlternateContent xmlns:mc="http://schemas.openxmlformats.org/markup-compatibility/2006">
      <mc:Choice xmlns:a14="http://schemas.microsoft.com/office/drawing/2010/main" Requires="a14">
        <xdr:graphicFrame macro="">
          <xdr:nvGraphicFramePr>
            <xdr:cNvPr id="14" name="Customer_Type 1">
              <a:extLst>
                <a:ext uri="{FF2B5EF4-FFF2-40B4-BE49-F238E27FC236}">
                  <a16:creationId xmlns:a16="http://schemas.microsoft.com/office/drawing/2014/main" id="{6F511CE8-346F-4448-B318-C0240EBD81EA}"/>
                </a:ext>
              </a:extLst>
            </xdr:cNvPr>
            <xdr:cNvGraphicFramePr/>
          </xdr:nvGraphicFramePr>
          <xdr:xfrm>
            <a:off x="0" y="0"/>
            <a:ext cx="0" cy="0"/>
          </xdr:xfrm>
          <a:graphic>
            <a:graphicData uri="http://schemas.microsoft.com/office/drawing/2010/slicer">
              <sle:slicer xmlns:sle="http://schemas.microsoft.com/office/drawing/2010/slicer" name="Customer_Type 1"/>
            </a:graphicData>
          </a:graphic>
        </xdr:graphicFrame>
      </mc:Choice>
      <mc:Fallback>
        <xdr:sp macro="" textlink="">
          <xdr:nvSpPr>
            <xdr:cNvPr id="0" name=""/>
            <xdr:cNvSpPr>
              <a:spLocks noTextEdit="1"/>
            </xdr:cNvSpPr>
          </xdr:nvSpPr>
          <xdr:spPr>
            <a:xfrm>
              <a:off x="144780" y="4396741"/>
              <a:ext cx="2423160" cy="90677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137160</xdr:colOff>
      <xdr:row>17</xdr:row>
      <xdr:rowOff>68581</xdr:rowOff>
    </xdr:from>
    <xdr:to>
      <xdr:col>4</xdr:col>
      <xdr:colOff>144780</xdr:colOff>
      <xdr:row>23</xdr:row>
      <xdr:rowOff>167640</xdr:rowOff>
    </xdr:to>
    <mc:AlternateContent xmlns:mc="http://schemas.openxmlformats.org/markup-compatibility/2006">
      <mc:Choice xmlns:a14="http://schemas.microsoft.com/office/drawing/2010/main" Requires="a14">
        <xdr:graphicFrame macro="">
          <xdr:nvGraphicFramePr>
            <xdr:cNvPr id="15" name="Payment 1">
              <a:extLst>
                <a:ext uri="{FF2B5EF4-FFF2-40B4-BE49-F238E27FC236}">
                  <a16:creationId xmlns:a16="http://schemas.microsoft.com/office/drawing/2014/main" id="{563F9C81-3BDE-44BF-B5B7-680E154F8827}"/>
                </a:ext>
              </a:extLst>
            </xdr:cNvPr>
            <xdr:cNvGraphicFramePr/>
          </xdr:nvGraphicFramePr>
          <xdr:xfrm>
            <a:off x="0" y="0"/>
            <a:ext cx="0" cy="0"/>
          </xdr:xfrm>
          <a:graphic>
            <a:graphicData uri="http://schemas.microsoft.com/office/drawing/2010/slicer">
              <sle:slicer xmlns:sle="http://schemas.microsoft.com/office/drawing/2010/slicer" name="Payment 1"/>
            </a:graphicData>
          </a:graphic>
        </xdr:graphicFrame>
      </mc:Choice>
      <mc:Fallback>
        <xdr:sp macro="" textlink="">
          <xdr:nvSpPr>
            <xdr:cNvPr id="0" name=""/>
            <xdr:cNvSpPr>
              <a:spLocks noTextEdit="1"/>
            </xdr:cNvSpPr>
          </xdr:nvSpPr>
          <xdr:spPr>
            <a:xfrm>
              <a:off x="137160" y="3177541"/>
              <a:ext cx="2446020" cy="119633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320040</xdr:colOff>
      <xdr:row>19</xdr:row>
      <xdr:rowOff>144780</xdr:rowOff>
    </xdr:from>
    <xdr:to>
      <xdr:col>9</xdr:col>
      <xdr:colOff>601980</xdr:colOff>
      <xdr:row>35</xdr:row>
      <xdr:rowOff>160020</xdr:rowOff>
    </xdr:to>
    <xdr:graphicFrame macro="">
      <xdr:nvGraphicFramePr>
        <xdr:cNvPr id="16" name="Chart 15">
          <a:extLst>
            <a:ext uri="{FF2B5EF4-FFF2-40B4-BE49-F238E27FC236}">
              <a16:creationId xmlns:a16="http://schemas.microsoft.com/office/drawing/2014/main" id="{D7C90018-F005-4C91-BB59-69BEC363AFA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 SAI SIDDARTHA" refreshedDate="46270.675181365739" createdVersion="8" refreshedVersion="8" minRefreshableVersion="3" recordCount="501" xr:uid="{68A47175-7A52-464C-B3ED-9EA3F0B90124}">
  <cacheSource type="worksheet">
    <worksheetSource ref="A1:Q502" sheet="supermarket_Data"/>
  </cacheSource>
  <cacheFields count="17">
    <cacheField name="Invoice_ID" numFmtId="0">
      <sharedItems/>
    </cacheField>
    <cacheField name="Date" numFmtId="0">
      <sharedItems containsSemiMixedTypes="0" containsString="0" containsNumber="1" containsInteger="1" minValue="46023" maxValue="46259"/>
    </cacheField>
    <cacheField name="Time" numFmtId="0">
      <sharedItems/>
    </cacheField>
    <cacheField name="Branch" numFmtId="0">
      <sharedItems count="5">
        <s v="Hyderabad Central"/>
        <s v="Warangal"/>
        <s v="Kukatpally"/>
        <s v="Secunderabad"/>
        <s v="Vijayawada"/>
      </sharedItems>
    </cacheField>
    <cacheField name="City" numFmtId="0">
      <sharedItems/>
    </cacheField>
    <cacheField name="Customer_Type" numFmtId="0">
      <sharedItems/>
    </cacheField>
    <cacheField name="Gender" numFmtId="0">
      <sharedItems/>
    </cacheField>
    <cacheField name="Product_Line" numFmtId="0">
      <sharedItems count="8">
        <s v="Snacks"/>
        <s v="Food &amp; Beverages"/>
        <s v="Fruits &amp; Vegetables"/>
        <s v="Household"/>
        <s v="Groceries"/>
        <s v="Bakery"/>
        <s v="Personal Care"/>
        <s v="Dairy Products"/>
      </sharedItems>
    </cacheField>
    <cacheField name="Unit_Price" numFmtId="0">
      <sharedItems containsString="0" containsBlank="1" containsNumber="1" minValue="46" maxValue="462.16"/>
    </cacheField>
    <cacheField name="Quantity" numFmtId="0">
      <sharedItems containsString="0" containsBlank="1" containsNumber="1" containsInteger="1" minValue="1" maxValue="10"/>
    </cacheField>
    <cacheField name="Tax" numFmtId="0">
      <sharedItems containsSemiMixedTypes="0" containsString="0" containsNumber="1" minValue="2.67" maxValue="226.36"/>
    </cacheField>
    <cacheField name="Total_Sales" numFmtId="0">
      <sharedItems containsSemiMixedTypes="0" containsString="0" containsNumber="1" minValue="56.01" maxValue="4753.5600000000004"/>
    </cacheField>
    <cacheField name="COGS" numFmtId="0">
      <sharedItems containsSemiMixedTypes="0" containsString="0" containsNumber="1" minValue="43.01" maxValue="3684.05"/>
    </cacheField>
    <cacheField name="Gross_Income" numFmtId="0">
      <sharedItems containsSemiMixedTypes="0" containsString="0" containsNumber="1" minValue="11.12" maxValue="1203.6500000000001"/>
    </cacheField>
    <cacheField name="Gross_Margin_%" numFmtId="0">
      <sharedItems containsSemiMixedTypes="0" containsString="0" containsNumber="1" minValue="16.329999999999998" maxValue="33.28"/>
    </cacheField>
    <cacheField name="Payment" numFmtId="0">
      <sharedItems/>
    </cacheField>
    <cacheField name="Rating" numFmtId="0">
      <sharedItems containsString="0" containsBlank="1" containsNumber="1" minValue="4" maxValue="10"/>
    </cacheField>
  </cacheFields>
  <extLst>
    <ext xmlns:x14="http://schemas.microsoft.com/office/spreadsheetml/2009/9/main" uri="{725AE2AE-9491-48be-B2B4-4EB974FC3084}">
      <x14:pivotCacheDefinition pivotCacheId="1648390224"/>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 SAI SIDDARTHA" refreshedDate="46270.679037037036" createdVersion="8" refreshedVersion="8" minRefreshableVersion="3" recordCount="502" xr:uid="{5EF9A144-B455-4431-9E04-179523454D25}">
  <cacheSource type="worksheet">
    <worksheetSource ref="A1:R1048576" sheet="supermarket_Data"/>
  </cacheSource>
  <cacheFields count="18">
    <cacheField name="Invoice_ID" numFmtId="0">
      <sharedItems containsBlank="1"/>
    </cacheField>
    <cacheField name="Date" numFmtId="0">
      <sharedItems containsString="0" containsBlank="1" containsNumber="1" containsInteger="1" minValue="46023" maxValue="46259"/>
    </cacheField>
    <cacheField name="Time" numFmtId="0">
      <sharedItems containsBlank="1"/>
    </cacheField>
    <cacheField name="Branch" numFmtId="0">
      <sharedItems containsBlank="1" count="6">
        <s v="Hyderabad Central"/>
        <s v="Warangal"/>
        <s v="Kukatpally"/>
        <s v="Secunderabad"/>
        <s v="Vijayawada"/>
        <m/>
      </sharedItems>
    </cacheField>
    <cacheField name="City" numFmtId="0">
      <sharedItems containsBlank="1" count="5">
        <s v="Hyderabad"/>
        <s v="Warangal"/>
        <s v="Secunderabad"/>
        <s v="Vijayawada"/>
        <m/>
      </sharedItems>
    </cacheField>
    <cacheField name="Customer_Type" numFmtId="0">
      <sharedItems containsBlank="1" count="3">
        <s v="Normal"/>
        <s v="Member"/>
        <m/>
      </sharedItems>
    </cacheField>
    <cacheField name="Gender" numFmtId="0">
      <sharedItems containsBlank="1"/>
    </cacheField>
    <cacheField name="Product_Line" numFmtId="0">
      <sharedItems containsBlank="1" count="9">
        <s v="Snacks"/>
        <s v="Food &amp; Beverages"/>
        <s v="Fruits &amp; Vegetables"/>
        <s v="Household"/>
        <s v="Groceries"/>
        <s v="Bakery"/>
        <s v="Personal Care"/>
        <s v="Dairy Products"/>
        <m/>
      </sharedItems>
    </cacheField>
    <cacheField name="Unit_Price" numFmtId="0">
      <sharedItems containsString="0" containsBlank="1" containsNumber="1" minValue="46" maxValue="462.16"/>
    </cacheField>
    <cacheField name="Quantity" numFmtId="0">
      <sharedItems containsString="0" containsBlank="1" containsNumber="1" containsInteger="1" minValue="1" maxValue="10" count="11">
        <n v="9"/>
        <n v="2"/>
        <n v="4"/>
        <n v="7"/>
        <n v="1"/>
        <n v="6"/>
        <n v="8"/>
        <n v="5"/>
        <n v="10"/>
        <n v="3"/>
        <m/>
      </sharedItems>
    </cacheField>
    <cacheField name="Tax" numFmtId="0">
      <sharedItems containsString="0" containsBlank="1" containsNumber="1" minValue="2.67" maxValue="226.36"/>
    </cacheField>
    <cacheField name="Total_Sales" numFmtId="0">
      <sharedItems containsString="0" containsBlank="1" containsNumber="1" minValue="56.01" maxValue="4753.5600000000004"/>
    </cacheField>
    <cacheField name="COGS" numFmtId="0">
      <sharedItems containsString="0" containsBlank="1" containsNumber="1" minValue="43.01" maxValue="3684.05"/>
    </cacheField>
    <cacheField name="Gross_Income" numFmtId="0">
      <sharedItems containsString="0" containsBlank="1" containsNumber="1" minValue="11.12" maxValue="1203.6500000000001"/>
    </cacheField>
    <cacheField name="Gross_Margin_%" numFmtId="0">
      <sharedItems containsString="0" containsBlank="1" containsNumber="1" minValue="16.329999999999998" maxValue="33.28"/>
    </cacheField>
    <cacheField name="Payment" numFmtId="0">
      <sharedItems containsBlank="1" count="6">
        <s v="Wallet"/>
        <s v="Debit Card"/>
        <s v="Credit Card"/>
        <s v="Cash"/>
        <s v="UPI"/>
        <m/>
      </sharedItems>
    </cacheField>
    <cacheField name="Rating" numFmtId="0">
      <sharedItems containsString="0" containsBlank="1" containsNumber="1" minValue="4" maxValue="10"/>
    </cacheField>
    <cacheField name="sales by month" numFmtId="0">
      <sharedItems containsBlank="1" count="9">
        <s v="January"/>
        <s v="February"/>
        <s v="March"/>
        <s v="April"/>
        <s v="May"/>
        <s v="June"/>
        <s v="July"/>
        <s v="August"/>
        <m/>
      </sharedItems>
    </cacheField>
  </cacheFields>
  <extLst>
    <ext xmlns:x14="http://schemas.microsoft.com/office/spreadsheetml/2009/9/main" uri="{725AE2AE-9491-48be-B2B4-4EB974FC3084}">
      <x14:pivotCacheDefinition pivotCacheId="186824275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1">
  <r>
    <s v="INV00007"/>
    <n v="46023"/>
    <s v="21:03"/>
    <x v="0"/>
    <s v="Hyderabad"/>
    <s v="Normal"/>
    <s v="Female"/>
    <x v="0"/>
    <n v="117.04"/>
    <n v="9"/>
    <n v="52.67"/>
    <n v="1106.03"/>
    <n v="900.38"/>
    <n v="205.65"/>
    <n v="18.59"/>
    <s v="Wallet"/>
    <n v="8"/>
  </r>
  <r>
    <s v="INV00057"/>
    <n v="46023"/>
    <s v="10:27"/>
    <x v="0"/>
    <s v="Hyderabad"/>
    <s v="Normal"/>
    <s v="Male"/>
    <x v="1"/>
    <n v="104.35"/>
    <n v="2"/>
    <n v="10.44"/>
    <n v="219.14"/>
    <n v="154.80000000000001"/>
    <n v="64.34"/>
    <n v="29.36"/>
    <s v="Debit Card"/>
    <n v="8.1999999999999993"/>
  </r>
  <r>
    <s v="INV00208"/>
    <n v="46023"/>
    <s v="10:54"/>
    <x v="1"/>
    <s v="Warangal"/>
    <s v="Member"/>
    <s v="Male"/>
    <x v="2"/>
    <n v="80.569999999999993"/>
    <n v="4"/>
    <n v="16.11"/>
    <n v="338.39"/>
    <n v="259.74"/>
    <n v="78.650000000000006"/>
    <n v="23.24"/>
    <s v="Credit Card"/>
    <n v="9.3000000000000007"/>
  </r>
  <r>
    <s v="INV00437"/>
    <n v="46023"/>
    <s v="14:49"/>
    <x v="0"/>
    <s v="Hyderabad"/>
    <s v="Member"/>
    <s v="Male"/>
    <x v="1"/>
    <n v="108.68"/>
    <n v="7"/>
    <n v="38.04"/>
    <n v="798.8"/>
    <n v="604.12"/>
    <n v="194.68"/>
    <n v="24.37"/>
    <s v="Cash"/>
    <n v="6.7"/>
  </r>
  <r>
    <s v="INV00094"/>
    <n v="46024"/>
    <s v="13:32"/>
    <x v="2"/>
    <s v="Hyderabad"/>
    <s v="Member"/>
    <s v="Female"/>
    <x v="3"/>
    <n v="298.82"/>
    <n v="9"/>
    <n v="134.47"/>
    <n v="2823.85"/>
    <n v="2000.55"/>
    <n v="823.3"/>
    <n v="29.16"/>
    <s v="Debit Card"/>
    <n v="8.4"/>
  </r>
  <r>
    <s v="INV00101"/>
    <n v="46025"/>
    <s v="11:51"/>
    <x v="0"/>
    <s v="Hyderabad"/>
    <s v="Member"/>
    <s v="Male"/>
    <x v="4"/>
    <n v="243.36"/>
    <n v="9"/>
    <n v="109.51"/>
    <n v="2299.75"/>
    <n v="1830.37"/>
    <n v="469.38"/>
    <n v="20.41"/>
    <s v="UPI"/>
    <n v="8.6"/>
  </r>
  <r>
    <s v="INV00423"/>
    <n v="46025"/>
    <s v="10:11"/>
    <x v="0"/>
    <s v="Hyderabad"/>
    <s v="Member"/>
    <s v="Male"/>
    <x v="0"/>
    <n v="134.26"/>
    <n v="9"/>
    <n v="60.42"/>
    <n v="1268.76"/>
    <n v="907.16"/>
    <n v="361.6"/>
    <n v="28.5"/>
    <s v="UPI"/>
    <n v="9"/>
  </r>
  <r>
    <s v="INV00001"/>
    <n v="46026"/>
    <s v="11:56"/>
    <x v="3"/>
    <s v="Secunderabad"/>
    <s v="Member"/>
    <s v="Female"/>
    <x v="5"/>
    <n v="58.01"/>
    <n v="1"/>
    <n v="2.9"/>
    <n v="60.91"/>
    <n v="45.07"/>
    <n v="15.84"/>
    <n v="26.01"/>
    <s v="Credit Card"/>
    <n v="8.1"/>
  </r>
  <r>
    <s v="INV00006"/>
    <n v="46026"/>
    <s v="10:28"/>
    <x v="0"/>
    <s v="Hyderabad"/>
    <s v="Normal"/>
    <s v="Male"/>
    <x v="4"/>
    <n v="232.56"/>
    <n v="6"/>
    <n v="69.77"/>
    <n v="1465.13"/>
    <n v="1206.6300000000001"/>
    <n v="258.5"/>
    <n v="17.64"/>
    <s v="Cash"/>
    <n v="9.6"/>
  </r>
  <r>
    <s v="INV00033"/>
    <n v="46026"/>
    <s v="09:44"/>
    <x v="0"/>
    <s v="Hyderabad"/>
    <s v="Member"/>
    <s v="Male"/>
    <x v="0"/>
    <n v="113.08"/>
    <n v="8"/>
    <n v="45.23"/>
    <n v="949.87"/>
    <n v="651.47"/>
    <n v="298.39999999999998"/>
    <n v="31.41"/>
    <s v="Credit Card"/>
    <n v="7.9"/>
  </r>
  <r>
    <s v="INV00490"/>
    <n v="46026"/>
    <s v="17:03"/>
    <x v="4"/>
    <s v="Vijayawada"/>
    <s v="Member"/>
    <s v="Female"/>
    <x v="2"/>
    <n v="49.73"/>
    <n v="4"/>
    <n v="9.9499999999999993"/>
    <n v="208.87"/>
    <n v="152.72999999999999"/>
    <n v="56.14"/>
    <n v="26.88"/>
    <s v="UPI"/>
    <n v="6.9"/>
  </r>
  <r>
    <s v="INV00170"/>
    <n v="46028"/>
    <s v="16:17"/>
    <x v="2"/>
    <s v="Hyderabad"/>
    <s v="Member"/>
    <s v="Female"/>
    <x v="4"/>
    <n v="201.68"/>
    <n v="1"/>
    <n v="10.08"/>
    <n v="211.76"/>
    <n v="154.59"/>
    <n v="57.17"/>
    <n v="27"/>
    <s v="Credit Card"/>
    <n v="9.5"/>
  </r>
  <r>
    <s v="INV00263"/>
    <n v="46028"/>
    <s v="11:22"/>
    <x v="0"/>
    <s v="Hyderabad"/>
    <s v="Member"/>
    <s v="Male"/>
    <x v="4"/>
    <n v="211.82"/>
    <n v="9"/>
    <n v="95.32"/>
    <n v="2001.7"/>
    <n v="1644.36"/>
    <n v="357.34"/>
    <n v="17.850000000000001"/>
    <s v="Wallet"/>
    <n v="8.6"/>
  </r>
  <r>
    <s v="INV00014"/>
    <n v="46030"/>
    <s v="11:36"/>
    <x v="0"/>
    <s v="Hyderabad"/>
    <s v="Member"/>
    <s v="Male"/>
    <x v="2"/>
    <n v="70.33"/>
    <n v="4"/>
    <n v="14.07"/>
    <n v="295.39"/>
    <n v="222.21"/>
    <n v="73.180000000000007"/>
    <n v="24.77"/>
    <s v="Credit Card"/>
    <n v="8.4"/>
  </r>
  <r>
    <s v="INV00179"/>
    <n v="46030"/>
    <s v="18:03"/>
    <x v="4"/>
    <s v="Vijayawada"/>
    <s v="Normal"/>
    <s v="Male"/>
    <x v="0"/>
    <n v="99.13"/>
    <n v="4"/>
    <n v="19.829999999999998"/>
    <n v="416.35"/>
    <n v="284.37"/>
    <n v="131.97999999999999"/>
    <n v="31.7"/>
    <s v="Debit Card"/>
    <n v="8.5"/>
  </r>
  <r>
    <s v="INV00143"/>
    <n v="46031"/>
    <s v="13:04"/>
    <x v="2"/>
    <s v="Hyderabad"/>
    <s v="Normal"/>
    <s v="Male"/>
    <x v="4"/>
    <n v="208.83"/>
    <n v="5"/>
    <n v="52.21"/>
    <n v="1096.3599999999999"/>
    <n v="806.94"/>
    <n v="289.42"/>
    <n v="26.4"/>
    <s v="Cash"/>
    <n v="8.1"/>
  </r>
  <r>
    <s v="INV00193"/>
    <n v="46031"/>
    <s v="11:05"/>
    <x v="4"/>
    <s v="Vijayawada"/>
    <s v="Member"/>
    <s v="Male"/>
    <x v="6"/>
    <n v="233.01"/>
    <n v="9"/>
    <n v="104.85"/>
    <n v="2201.94"/>
    <n v="1718.03"/>
    <n v="483.91"/>
    <n v="21.98"/>
    <s v="Cash"/>
    <n v="9.9"/>
  </r>
  <r>
    <s v="INV00493"/>
    <n v="46031"/>
    <s v="11:57"/>
    <x v="3"/>
    <s v="Secunderabad"/>
    <s v="Member"/>
    <s v="Female"/>
    <x v="4"/>
    <n v="169.4"/>
    <n v="10"/>
    <n v="84.7"/>
    <n v="1778.7"/>
    <n v="1354.83"/>
    <n v="423.87"/>
    <n v="23.83"/>
    <s v="Debit Card"/>
    <n v="6.9"/>
  </r>
  <r>
    <s v="INV00165"/>
    <n v="46032"/>
    <s v="20:05"/>
    <x v="0"/>
    <s v="Hyderabad"/>
    <s v="Member"/>
    <s v="Male"/>
    <x v="1"/>
    <n v="152.88"/>
    <n v="9"/>
    <n v="68.8"/>
    <n v="1444.72"/>
    <n v="980.48"/>
    <n v="464.24"/>
    <n v="32.130000000000003"/>
    <s v="Credit Card"/>
    <n v="8.4"/>
  </r>
  <r>
    <s v="INV00209"/>
    <n v="46032"/>
    <s v="18:16"/>
    <x v="0"/>
    <s v="Hyderabad"/>
    <s v="Member"/>
    <s v="Female"/>
    <x v="4"/>
    <n v="218.63"/>
    <n v="6"/>
    <n v="65.59"/>
    <n v="1377.37"/>
    <n v="962.02"/>
    <n v="415.35"/>
    <n v="30.16"/>
    <s v="Debit Card"/>
    <n v="8.8000000000000007"/>
  </r>
  <r>
    <s v="INV00481"/>
    <n v="46032"/>
    <s v="16:07"/>
    <x v="2"/>
    <s v="Hyderabad"/>
    <s v="Normal"/>
    <s v="Female"/>
    <x v="3"/>
    <n v="399.35"/>
    <n v="3"/>
    <n v="59.9"/>
    <n v="1257.95"/>
    <n v="844.08"/>
    <n v="413.87"/>
    <n v="32.9"/>
    <s v="Cash"/>
    <n v="7.6"/>
  </r>
  <r>
    <s v="INV00114"/>
    <n v="46033"/>
    <s v="16:31"/>
    <x v="4"/>
    <s v="Vijayawada"/>
    <s v="Member"/>
    <s v="Female"/>
    <x v="1"/>
    <n v="150.63"/>
    <n v="2"/>
    <n v="15.06"/>
    <n v="316.32"/>
    <n v="261.48"/>
    <n v="54.84"/>
    <n v="17.34"/>
    <s v="Credit Card"/>
    <n v="7.7"/>
  </r>
  <r>
    <s v="INV00050"/>
    <n v="46034"/>
    <s v="09:18"/>
    <x v="0"/>
    <s v="Hyderabad"/>
    <s v="Member"/>
    <s v="Female"/>
    <x v="2"/>
    <n v="64.48"/>
    <n v="6"/>
    <n v="19.34"/>
    <n v="406.22"/>
    <n v="328.48"/>
    <n v="77.739999999999995"/>
    <n v="19.14"/>
    <s v="UPI"/>
    <n v="5.7"/>
  </r>
  <r>
    <s v="INV00080"/>
    <n v="46034"/>
    <s v="15:08"/>
    <x v="0"/>
    <s v="Hyderabad"/>
    <s v="Normal"/>
    <s v="Male"/>
    <x v="4"/>
    <n v="145.09"/>
    <n v="10"/>
    <n v="72.540000000000006"/>
    <n v="1523.44"/>
    <n v="1221.8"/>
    <n v="301.64"/>
    <n v="19.8"/>
    <s v="UPI"/>
    <n v="7.2"/>
  </r>
  <r>
    <s v="INV00218"/>
    <n v="46034"/>
    <s v="12:20"/>
    <x v="1"/>
    <s v="Warangal"/>
    <s v="Normal"/>
    <s v="Female"/>
    <x v="0"/>
    <n v="74.97"/>
    <n v="9"/>
    <n v="33.74"/>
    <n v="708.47"/>
    <n v="526.22"/>
    <n v="182.25"/>
    <n v="25.72"/>
    <s v="Credit Card"/>
    <n v="7.2"/>
  </r>
  <r>
    <s v="INV00270"/>
    <n v="46035"/>
    <s v="15:40"/>
    <x v="3"/>
    <s v="Secunderabad"/>
    <s v="Member"/>
    <s v="Female"/>
    <x v="2"/>
    <n v="85.97"/>
    <n v="4"/>
    <n v="17.190000000000001"/>
    <n v="361.07"/>
    <n v="259.52999999999997"/>
    <n v="101.54"/>
    <n v="28.12"/>
    <s v="Debit Card"/>
    <n v="8.1"/>
  </r>
  <r>
    <s v="INV00295"/>
    <n v="46036"/>
    <s v="14:40"/>
    <x v="0"/>
    <s v="Hyderabad"/>
    <s v="Normal"/>
    <s v="Female"/>
    <x v="1"/>
    <n v="104.53"/>
    <n v="3"/>
    <n v="15.68"/>
    <n v="329.27"/>
    <n v="227.33"/>
    <n v="101.94"/>
    <n v="30.96"/>
    <s v="Cash"/>
    <n v="6.6"/>
  </r>
  <r>
    <s v="INV00093"/>
    <n v="46037"/>
    <s v="19:41"/>
    <x v="1"/>
    <s v="Warangal"/>
    <s v="Normal"/>
    <s v="Male"/>
    <x v="4"/>
    <n v="149.97"/>
    <n v="4"/>
    <n v="29.99"/>
    <n v="629.87"/>
    <n v="437.94"/>
    <n v="191.93"/>
    <n v="30.47"/>
    <s v="Credit Card"/>
    <n v="7.8"/>
  </r>
  <r>
    <s v="INV00158"/>
    <n v="46037"/>
    <s v="16:03"/>
    <x v="1"/>
    <s v="Warangal"/>
    <s v="Normal"/>
    <s v="Male"/>
    <x v="3"/>
    <n v="263.77999999999997"/>
    <n v="4"/>
    <n v="52.76"/>
    <n v="1107.8800000000001"/>
    <n v="824.14"/>
    <n v="283.74"/>
    <n v="25.61"/>
    <s v="Credit Card"/>
    <n v="6.2"/>
  </r>
  <r>
    <s v="INV00198"/>
    <n v="46037"/>
    <s v="09:23"/>
    <x v="4"/>
    <s v="Vijayawada"/>
    <s v="Normal"/>
    <s v="Male"/>
    <x v="7"/>
    <n v="76.540000000000006"/>
    <n v="10"/>
    <n v="38.270000000000003"/>
    <n v="803.67"/>
    <n v="619.19000000000005"/>
    <n v="184.48"/>
    <n v="22.95"/>
    <s v="UPI"/>
    <n v="7"/>
  </r>
  <r>
    <s v="INV00489"/>
    <n v="46037"/>
    <s v="21:39"/>
    <x v="4"/>
    <s v="Vijayawada"/>
    <s v="Member"/>
    <s v="Female"/>
    <x v="4"/>
    <n v="298.25"/>
    <n v="3"/>
    <n v="44.74"/>
    <n v="939.49"/>
    <n v="634.94000000000005"/>
    <n v="304.55"/>
    <n v="32.42"/>
    <s v="UPI"/>
    <n v="9.6"/>
  </r>
  <r>
    <s v="INV00028"/>
    <n v="46038"/>
    <s v="18:50"/>
    <x v="2"/>
    <s v="Hyderabad"/>
    <s v="Normal"/>
    <s v="Male"/>
    <x v="4"/>
    <n v="221.55"/>
    <n v="6"/>
    <n v="66.47"/>
    <n v="1395.77"/>
    <n v="997.76"/>
    <n v="398.01"/>
    <n v="28.52"/>
    <s v="Credit Card"/>
    <n v="9.5"/>
  </r>
  <r>
    <s v="INV00190"/>
    <n v="46038"/>
    <s v="17:58"/>
    <x v="3"/>
    <s v="Secunderabad"/>
    <s v="Normal"/>
    <s v="Female"/>
    <x v="4"/>
    <n v="162.4"/>
    <n v="5"/>
    <n v="40.6"/>
    <n v="852.6"/>
    <n v="598.69000000000005"/>
    <n v="253.91"/>
    <n v="29.78"/>
    <s v="UPI"/>
    <n v="5.4"/>
  </r>
  <r>
    <s v="INV00337"/>
    <n v="46038"/>
    <s v="11:42"/>
    <x v="4"/>
    <s v="Vijayawada"/>
    <s v="Member"/>
    <s v="Female"/>
    <x v="0"/>
    <n v="77.819999999999993"/>
    <n v="6"/>
    <n v="23.35"/>
    <n v="490.27"/>
    <n v="403.34"/>
    <n v="86.93"/>
    <n v="17.73"/>
    <s v="UPI"/>
    <n v="7.4"/>
  </r>
  <r>
    <s v="INV00453"/>
    <n v="46038"/>
    <s v="18:55"/>
    <x v="2"/>
    <s v="Hyderabad"/>
    <s v="Normal"/>
    <s v="Female"/>
    <x v="4"/>
    <n v="157.59"/>
    <n v="2"/>
    <n v="15.76"/>
    <n v="330.94"/>
    <n v="262.39"/>
    <n v="68.55"/>
    <n v="20.71"/>
    <s v="Credit Card"/>
    <n v="8.1"/>
  </r>
  <r>
    <s v="INV00499"/>
    <n v="46038"/>
    <s v="16:17"/>
    <x v="4"/>
    <s v="Vijayawada"/>
    <s v="Member"/>
    <s v="Female"/>
    <x v="0"/>
    <n v="142.88"/>
    <n v="3"/>
    <n v="21.43"/>
    <n v="450.07"/>
    <n v="347.11"/>
    <n v="102.96"/>
    <n v="22.88"/>
    <s v="Debit Card"/>
    <n v="8.1999999999999993"/>
  </r>
  <r>
    <s v="INV00035"/>
    <n v="46039"/>
    <s v="21:57"/>
    <x v="4"/>
    <s v="Vijayawada"/>
    <s v="Member"/>
    <s v="Female"/>
    <x v="2"/>
    <n v="53.34"/>
    <n v="1"/>
    <n v="2.67"/>
    <n v="56.01"/>
    <n v="44.89"/>
    <n v="11.12"/>
    <n v="19.850000000000001"/>
    <s v="Debit Card"/>
    <n v="7.4"/>
  </r>
  <r>
    <s v="INV00053"/>
    <n v="46040"/>
    <s v="11:48"/>
    <x v="4"/>
    <s v="Hyderabad"/>
    <s v="Normal"/>
    <s v="Female"/>
    <x v="7"/>
    <n v="100.71"/>
    <n v="10"/>
    <n v="50.36"/>
    <n v="1057.46"/>
    <n v="847.52"/>
    <n v="209.94"/>
    <n v="19.850000000000001"/>
    <s v="UPI"/>
    <n v="8.4"/>
  </r>
  <r>
    <s v="INV00100"/>
    <n v="46040"/>
    <s v="11:51"/>
    <x v="0"/>
    <s v="Hyderabad"/>
    <s v="Member"/>
    <s v="Male"/>
    <x v="1"/>
    <n v="95.43"/>
    <n v="1"/>
    <n v="4.7699999999999996"/>
    <n v="100.2"/>
    <n v="73.930000000000007"/>
    <n v="26.27"/>
    <n v="26.22"/>
    <s v="Debit Card"/>
    <n v="6.7"/>
  </r>
  <r>
    <s v="INV00234"/>
    <n v="46040"/>
    <s v="10:45"/>
    <x v="2"/>
    <s v="Hyderabad"/>
    <s v="Member"/>
    <s v="Female"/>
    <x v="7"/>
    <n v="73.06"/>
    <n v="2"/>
    <n v="7.31"/>
    <n v="153.43"/>
    <n v="122.71"/>
    <n v="30.72"/>
    <n v="20.02"/>
    <s v="Credit Card"/>
    <n v="10"/>
  </r>
  <r>
    <s v="INV00483"/>
    <n v="46040"/>
    <s v="20:52"/>
    <x v="2"/>
    <s v="Hyderabad"/>
    <s v="Member"/>
    <s v="Male"/>
    <x v="1"/>
    <n v="100.96"/>
    <n v="1"/>
    <n v="5.05"/>
    <n v="106.01"/>
    <n v="80.12"/>
    <n v="25.89"/>
    <n v="24.42"/>
    <s v="Wallet"/>
    <n v="8"/>
  </r>
  <r>
    <s v="INV00070"/>
    <n v="46041"/>
    <s v="18:50"/>
    <x v="4"/>
    <s v="Vijayawada"/>
    <s v="Member"/>
    <s v="Female"/>
    <x v="3"/>
    <n v="313.22000000000003"/>
    <n v="4"/>
    <n v="62.64"/>
    <n v="1315.52"/>
    <n v="943.76"/>
    <n v="371.76"/>
    <n v="28.26"/>
    <s v="Credit Card"/>
    <n v="6.8"/>
  </r>
  <r>
    <s v="INV00308"/>
    <n v="46041"/>
    <s v="19:20"/>
    <x v="3"/>
    <s v="Secunderabad"/>
    <s v="Normal"/>
    <s v="Male"/>
    <x v="0"/>
    <n v="97.86"/>
    <n v="3"/>
    <n v="14.68"/>
    <n v="308.26"/>
    <n v="255.18"/>
    <n v="53.08"/>
    <n v="17.22"/>
    <s v="Credit Card"/>
    <n v="8"/>
  </r>
  <r>
    <s v="INV00428"/>
    <n v="46041"/>
    <s v="20:08"/>
    <x v="4"/>
    <s v="Vijayawada"/>
    <s v="Normal"/>
    <s v="Male"/>
    <x v="7"/>
    <n v="66.16"/>
    <n v="5"/>
    <n v="16.54"/>
    <n v="347.34"/>
    <n v="290.61"/>
    <n v="56.73"/>
    <n v="16.329999999999998"/>
    <s v="Debit Card"/>
    <n v="6.6"/>
  </r>
  <r>
    <s v="INV00395"/>
    <n v="46043"/>
    <s v="13:22"/>
    <x v="3"/>
    <s v="Secunderabad"/>
    <s v="Member"/>
    <s v="Male"/>
    <x v="5"/>
    <n v="55.08"/>
    <n v="10"/>
    <n v="27.54"/>
    <n v="578.34"/>
    <n v="387.59"/>
    <n v="190.75"/>
    <n v="32.979999999999997"/>
    <s v="Credit Card"/>
    <n v="6.9"/>
  </r>
  <r>
    <s v="INV00471"/>
    <n v="46043"/>
    <s v="16:22"/>
    <x v="0"/>
    <s v="Hyderabad"/>
    <s v="Normal"/>
    <s v="Female"/>
    <x v="5"/>
    <n v="109.51"/>
    <n v="1"/>
    <n v="5.48"/>
    <n v="114.99"/>
    <n v="83.97"/>
    <n v="31.02"/>
    <n v="26.98"/>
    <s v="Debit Card"/>
    <n v="6.1"/>
  </r>
  <r>
    <s v="INV00046"/>
    <n v="46044"/>
    <s v="12:14"/>
    <x v="1"/>
    <s v="Warangal"/>
    <s v="Normal"/>
    <s v="Male"/>
    <x v="3"/>
    <n v="209.96"/>
    <n v="2"/>
    <n v="21"/>
    <n v="440.92"/>
    <n v="313.20999999999998"/>
    <n v="127.71"/>
    <n v="28.96"/>
    <s v="UPI"/>
    <n v="9.6999999999999993"/>
  </r>
  <r>
    <s v="INV00123"/>
    <n v="46044"/>
    <s v="21:54"/>
    <x v="3"/>
    <s v="Secunderabad"/>
    <s v="Normal"/>
    <s v="Female"/>
    <x v="3"/>
    <n v="385.28"/>
    <n v="10"/>
    <n v="192.64"/>
    <n v="4045.44"/>
    <n v="3235.46"/>
    <n v="809.98"/>
    <n v="20.02"/>
    <s v="Credit Card"/>
    <n v="8"/>
  </r>
  <r>
    <s v="INV00203"/>
    <n v="46044"/>
    <s v="21:21"/>
    <x v="0"/>
    <s v="Hyderabad"/>
    <s v="Member"/>
    <s v="Female"/>
    <x v="3"/>
    <n v="350.77"/>
    <n v="5"/>
    <n v="87.69"/>
    <n v="1841.54"/>
    <n v="1467.07"/>
    <n v="374.47"/>
    <n v="20.329999999999998"/>
    <s v="Debit Card"/>
    <n v="7"/>
  </r>
  <r>
    <s v="INV00228"/>
    <n v="46045"/>
    <s v="12:09"/>
    <x v="3"/>
    <s v="Secunderabad"/>
    <s v="Member"/>
    <s v="Female"/>
    <x v="2"/>
    <n v="89.77"/>
    <n v="5"/>
    <n v="22.44"/>
    <n v="471.29"/>
    <n v="380.92"/>
    <n v="90.37"/>
    <n v="19.18"/>
    <s v="Credit Card"/>
    <n v="7.1"/>
  </r>
  <r>
    <s v="INV00265"/>
    <n v="46046"/>
    <s v="09:40"/>
    <x v="4"/>
    <s v="Vijayawada"/>
    <s v="Member"/>
    <s v="Female"/>
    <x v="1"/>
    <n v="166.93"/>
    <n v="2"/>
    <n v="16.690000000000001"/>
    <n v="350.55"/>
    <n v="281.86"/>
    <n v="68.69"/>
    <n v="19.59"/>
    <s v="Credit Card"/>
    <n v="8.8000000000000007"/>
  </r>
  <r>
    <s v="INV00129"/>
    <n v="46047"/>
    <s v="17:55"/>
    <x v="0"/>
    <s v="Hyderabad"/>
    <s v="Member"/>
    <s v="Male"/>
    <x v="1"/>
    <n v="146.03"/>
    <n v="9"/>
    <n v="65.709999999999994"/>
    <n v="1379.98"/>
    <n v="972.48"/>
    <n v="407.5"/>
    <n v="29.53"/>
    <s v="UPI"/>
    <n v="8.1"/>
  </r>
  <r>
    <s v="INV00233"/>
    <n v="46047"/>
    <s v="15:43"/>
    <x v="2"/>
    <s v="Hyderabad"/>
    <s v="Member"/>
    <s v="Male"/>
    <x v="5"/>
    <n v="112.42"/>
    <n v="10"/>
    <n v="56.21"/>
    <n v="1180.4100000000001"/>
    <n v="799.72"/>
    <n v="380.69"/>
    <n v="32.25"/>
    <s v="Credit Card"/>
    <n v="6.6"/>
  </r>
  <r>
    <s v="INV00272"/>
    <n v="46047"/>
    <s v="12:31"/>
    <x v="4"/>
    <s v="Vijayawada"/>
    <s v="Normal"/>
    <s v="Male"/>
    <x v="2"/>
    <n v="53.03"/>
    <n v="5"/>
    <n v="13.26"/>
    <n v="278.41000000000003"/>
    <n v="231.48"/>
    <n v="46.93"/>
    <n v="16.86"/>
    <s v="Debit Card"/>
    <n v="7.7"/>
  </r>
  <r>
    <s v="INV00411"/>
    <n v="46047"/>
    <s v="10:40"/>
    <x v="3"/>
    <s v="Secunderabad"/>
    <s v="Member"/>
    <s v="Female"/>
    <x v="7"/>
    <n v="97.64"/>
    <n v="6"/>
    <n v="29.29"/>
    <n v="615.13"/>
    <n v="426.54"/>
    <n v="188.59"/>
    <n v="30.66"/>
    <s v="Debit Card"/>
    <n v="9.3000000000000007"/>
  </r>
  <r>
    <s v="INV00452"/>
    <n v="46047"/>
    <s v="16:50"/>
    <x v="2"/>
    <s v="Hyderabad"/>
    <s v="Normal"/>
    <s v="Male"/>
    <x v="5"/>
    <n v="114.46"/>
    <n v="6"/>
    <n v="34.340000000000003"/>
    <n v="721.1"/>
    <n v="543.79"/>
    <n v="177.31"/>
    <n v="24.59"/>
    <s v="UPI"/>
    <n v="8.1999999999999993"/>
  </r>
  <r>
    <s v="INV00294"/>
    <n v="46048"/>
    <s v="19:52"/>
    <x v="3"/>
    <s v="Secunderabad"/>
    <s v="Normal"/>
    <s v="Male"/>
    <x v="7"/>
    <n v="108.38"/>
    <n v="8"/>
    <n v="43.35"/>
    <n v="910.39"/>
    <n v="712.45"/>
    <n v="197.94"/>
    <n v="21.74"/>
    <s v="UPI"/>
    <n v="8.6999999999999993"/>
  </r>
  <r>
    <s v="INV00348"/>
    <n v="46048"/>
    <s v="18:07"/>
    <x v="0"/>
    <s v="Hyderabad"/>
    <s v="Member"/>
    <s v="Male"/>
    <x v="0"/>
    <n v="115.21"/>
    <n v="6"/>
    <n v="34.56"/>
    <n v="725.82"/>
    <n v="571.30999999999995"/>
    <n v="154.51"/>
    <n v="21.29"/>
    <s v="Debit Card"/>
    <n v="7.3"/>
  </r>
  <r>
    <s v="INV00021"/>
    <n v="46049"/>
    <s v="12:06"/>
    <x v="2"/>
    <s v="Hyderabad"/>
    <s v="Normal"/>
    <s v="Female"/>
    <x v="7"/>
    <n v="69.67"/>
    <n v="6"/>
    <n v="20.9"/>
    <n v="438.92"/>
    <n v="337.67"/>
    <n v="101.25"/>
    <n v="23.07"/>
    <s v="Credit Card"/>
    <n v="6.6"/>
  </r>
  <r>
    <s v="INV00239"/>
    <n v="46050"/>
    <s v="21:16"/>
    <x v="1"/>
    <s v="Warangal"/>
    <s v="Normal"/>
    <s v="Female"/>
    <x v="6"/>
    <n v="207.38"/>
    <n v="9"/>
    <n v="93.32"/>
    <n v="1959.74"/>
    <n v="1566.41"/>
    <n v="393.33"/>
    <n v="20.07"/>
    <s v="Credit Card"/>
    <n v="7.4"/>
  </r>
  <r>
    <s v="INV00318"/>
    <n v="46050"/>
    <s v="12:17"/>
    <x v="0"/>
    <s v="Hyderabad"/>
    <s v="Normal"/>
    <s v="Female"/>
    <x v="3"/>
    <n v="279.94"/>
    <n v="9"/>
    <n v="125.97"/>
    <n v="2645.43"/>
    <n v="2055.79"/>
    <n v="589.64"/>
    <n v="22.29"/>
    <s v="UPI"/>
    <n v="7"/>
  </r>
  <r>
    <s v="INV00338"/>
    <n v="46050"/>
    <s v="09:54"/>
    <x v="1"/>
    <s v="Warangal"/>
    <s v="Normal"/>
    <s v="Female"/>
    <x v="3"/>
    <n v="382.75"/>
    <n v="1"/>
    <n v="19.14"/>
    <n v="401.89"/>
    <n v="311.95"/>
    <n v="89.94"/>
    <n v="22.38"/>
    <s v="Debit Card"/>
    <n v="5.5"/>
  </r>
  <r>
    <s v="INV00408"/>
    <n v="46050"/>
    <s v="18:11"/>
    <x v="0"/>
    <s v="Hyderabad"/>
    <s v="Normal"/>
    <s v="Female"/>
    <x v="3"/>
    <n v="425.69"/>
    <n v="2"/>
    <n v="42.57"/>
    <n v="893.95"/>
    <n v="723.06"/>
    <n v="170.89"/>
    <n v="19.12"/>
    <s v="UPI"/>
    <n v="6.3"/>
  </r>
  <r>
    <s v="INV00088"/>
    <n v="46051"/>
    <s v="19:00"/>
    <x v="2"/>
    <s v="Hyderabad"/>
    <s v="Member"/>
    <s v="Female"/>
    <x v="1"/>
    <n v="137.06"/>
    <n v="6"/>
    <n v="41.12"/>
    <n v="863.48"/>
    <n v="669.59"/>
    <n v="193.89"/>
    <n v="22.45"/>
    <s v="UPI"/>
    <n v="8.9"/>
  </r>
  <r>
    <s v="INV00167"/>
    <n v="46051"/>
    <s v="10:41"/>
    <x v="3"/>
    <s v="Secunderabad"/>
    <s v="Normal"/>
    <s v="Female"/>
    <x v="4"/>
    <n v="201.05"/>
    <n v="10"/>
    <n v="100.52"/>
    <n v="2111.02"/>
    <n v="1627.53"/>
    <n v="483.49"/>
    <n v="22.9"/>
    <s v="Wallet"/>
    <n v="6.2"/>
  </r>
  <r>
    <s v="INV00044"/>
    <n v="46052"/>
    <s v="20:18"/>
    <x v="4"/>
    <s v="Vijayawada"/>
    <s v="Normal"/>
    <s v="Male"/>
    <x v="5"/>
    <n v="85.06"/>
    <n v="5"/>
    <n v="21.26"/>
    <n v="446.56"/>
    <n v="331.65"/>
    <n v="114.91"/>
    <n v="25.73"/>
    <s v="Debit Card"/>
    <n v="6.1"/>
  </r>
  <r>
    <s v="INV00075"/>
    <n v="46052"/>
    <s v="13:53"/>
    <x v="1"/>
    <s v="Warangal"/>
    <s v="Normal"/>
    <s v="Male"/>
    <x v="2"/>
    <n v="91.63"/>
    <n v="9"/>
    <n v="41.23"/>
    <n v="865.9"/>
    <n v="649.91"/>
    <n v="215.99"/>
    <n v="24.94"/>
    <s v="Debit Card"/>
    <n v="7.9"/>
  </r>
  <r>
    <s v="INV00482"/>
    <n v="46052"/>
    <s v="21:29"/>
    <x v="1"/>
    <s v="Warangal"/>
    <s v="Member"/>
    <s v="Male"/>
    <x v="2"/>
    <n v="72.03"/>
    <n v="10"/>
    <n v="36.020000000000003"/>
    <n v="756.32"/>
    <n v="536.97"/>
    <n v="219.35"/>
    <n v="29"/>
    <s v="UPI"/>
    <n v="6.7"/>
  </r>
  <r>
    <s v="INV00032"/>
    <n v="46053"/>
    <s v="20:54"/>
    <x v="0"/>
    <s v="Hyderabad"/>
    <s v="Normal"/>
    <s v="Female"/>
    <x v="0"/>
    <n v="103.34"/>
    <n v="6"/>
    <n v="31"/>
    <n v="651.04"/>
    <n v="537.16"/>
    <n v="113.88"/>
    <n v="17.489999999999998"/>
    <s v="Wallet"/>
    <n v="5.8"/>
  </r>
  <r>
    <s v="INV00394"/>
    <n v="46053"/>
    <s v="11:57"/>
    <x v="1"/>
    <s v="Warangal"/>
    <s v="Member"/>
    <s v="Female"/>
    <x v="3"/>
    <n v="372.9"/>
    <n v="6"/>
    <n v="111.87"/>
    <n v="2349.27"/>
    <n v="1654.66"/>
    <n v="694.61"/>
    <n v="29.57"/>
    <s v="UPI"/>
    <n v="7.1"/>
  </r>
  <r>
    <s v="INV00479"/>
    <n v="46053"/>
    <s v="10:53"/>
    <x v="4"/>
    <s v="Vijayawada"/>
    <s v="Normal"/>
    <s v="Female"/>
    <x v="6"/>
    <n v="156.75"/>
    <n v="8"/>
    <n v="62.7"/>
    <n v="1316.7"/>
    <n v="954.01"/>
    <n v="362.69"/>
    <n v="27.55"/>
    <s v="UPI"/>
    <n v="7.4"/>
  </r>
  <r>
    <s v="INV00022"/>
    <n v="46054"/>
    <s v="10:53"/>
    <x v="0"/>
    <s v="Hyderabad"/>
    <s v="Member"/>
    <s v="Female"/>
    <x v="3"/>
    <n v="306.43"/>
    <n v="2"/>
    <n v="30.64"/>
    <n v="643.5"/>
    <n v="451.19"/>
    <n v="192.31"/>
    <n v="29.89"/>
    <s v="Cash"/>
    <n v="8.5"/>
  </r>
  <r>
    <s v="INV00077"/>
    <n v="46055"/>
    <s v="19:07"/>
    <x v="1"/>
    <s v="Warangal"/>
    <s v="Member"/>
    <s v="Female"/>
    <x v="1"/>
    <n v="189.51"/>
    <n v="10"/>
    <n v="94.76"/>
    <n v="1989.86"/>
    <n v="1579.21"/>
    <n v="410.65"/>
    <n v="20.64"/>
    <s v="UPI"/>
    <n v="6.6"/>
  </r>
  <r>
    <s v="INV00316"/>
    <n v="46055"/>
    <s v="09:08"/>
    <x v="1"/>
    <s v="Warangal"/>
    <s v="Normal"/>
    <s v="Male"/>
    <x v="7"/>
    <n v="84.19"/>
    <n v="6"/>
    <n v="25.26"/>
    <n v="530.4"/>
    <n v="411.03"/>
    <n v="119.37"/>
    <n v="22.51"/>
    <s v="Cash"/>
    <n v="7.7"/>
  </r>
  <r>
    <s v="INV00466"/>
    <n v="46056"/>
    <s v="18:31"/>
    <x v="3"/>
    <s v="Secunderabad"/>
    <s v="Member"/>
    <s v="Female"/>
    <x v="3"/>
    <n v="284.75"/>
    <n v="10"/>
    <n v="142.38"/>
    <n v="2989.88"/>
    <n v="2201.63"/>
    <n v="788.25"/>
    <n v="26.36"/>
    <s v="UPI"/>
    <n v="8.5"/>
  </r>
  <r>
    <s v="INV00013"/>
    <n v="46057"/>
    <s v="13:10"/>
    <x v="4"/>
    <s v="Vijayawada"/>
    <s v="Normal"/>
    <s v="Male"/>
    <x v="0"/>
    <n v="150.04"/>
    <n v="5"/>
    <n v="37.51"/>
    <n v="787.71"/>
    <n v="637.71"/>
    <n v="150"/>
    <n v="19.04"/>
    <s v="UPI"/>
    <n v="6.1"/>
  </r>
  <r>
    <s v="INV00169"/>
    <n v="46057"/>
    <s v="09:12"/>
    <x v="0"/>
    <s v="Hyderabad"/>
    <s v="Member"/>
    <s v="Female"/>
    <x v="4"/>
    <n v="141.69999999999999"/>
    <n v="5"/>
    <n v="35.43"/>
    <n v="743.93"/>
    <n v="543.71"/>
    <n v="200.22"/>
    <n v="26.91"/>
    <s v="Credit Card"/>
    <n v="9.1"/>
  </r>
  <r>
    <s v="INV00291"/>
    <n v="46057"/>
    <s v="18:32"/>
    <x v="0"/>
    <s v="Hyderabad"/>
    <s v="Member"/>
    <s v="Male"/>
    <x v="4"/>
    <n v="247.13"/>
    <n v="2"/>
    <n v="24.71"/>
    <n v="518.97"/>
    <n v="352.15"/>
    <n v="166.82"/>
    <n v="32.14"/>
    <s v="Cash"/>
    <n v="6.8"/>
  </r>
  <r>
    <s v="INV00435"/>
    <n v="46057"/>
    <s v="21:41"/>
    <x v="0"/>
    <s v="Hyderabad"/>
    <s v="Member"/>
    <s v="Female"/>
    <x v="4"/>
    <n v="193.17"/>
    <n v="1"/>
    <n v="9.66"/>
    <n v="202.83"/>
    <n v="167.92"/>
    <n v="34.909999999999997"/>
    <n v="17.21"/>
    <s v="Debit Card"/>
    <n v="8.4"/>
  </r>
  <r>
    <s v="INV00017"/>
    <n v="46058"/>
    <s v="16:12"/>
    <x v="3"/>
    <s v="Secunderabad"/>
    <s v="Member"/>
    <s v="Male"/>
    <x v="3"/>
    <n v="359.47"/>
    <n v="8"/>
    <n v="143.79"/>
    <n v="3019.55"/>
    <n v="2418.85"/>
    <n v="600.70000000000005"/>
    <n v="19.89"/>
    <s v="Debit Card"/>
    <n v="7.1"/>
  </r>
  <r>
    <s v="INV00052"/>
    <n v="46058"/>
    <s v="15:29"/>
    <x v="1"/>
    <s v="Warangal"/>
    <s v="Member"/>
    <s v="Male"/>
    <x v="2"/>
    <n v="77.53"/>
    <n v="2"/>
    <n v="7.75"/>
    <n v="162.81"/>
    <n v="131.13"/>
    <n v="31.68"/>
    <n v="19.46"/>
    <s v="Debit Card"/>
    <n v="10"/>
  </r>
  <r>
    <s v="INV00323"/>
    <n v="46059"/>
    <s v="19:14"/>
    <x v="1"/>
    <s v="Warangal"/>
    <s v="Normal"/>
    <s v="Male"/>
    <x v="3"/>
    <n v="290.3"/>
    <n v="7"/>
    <n v="101.61"/>
    <n v="2133.71"/>
    <n v="1718.84"/>
    <n v="414.87"/>
    <n v="19.440000000000001"/>
    <s v="UPI"/>
    <n v="7.7"/>
  </r>
  <r>
    <s v="INV00173"/>
    <n v="46060"/>
    <s v="19:38"/>
    <x v="2"/>
    <s v="Hyderabad"/>
    <s v="Normal"/>
    <s v="Male"/>
    <x v="1"/>
    <n v="181.97"/>
    <n v="8"/>
    <n v="72.790000000000006"/>
    <n v="1528.55"/>
    <n v="1262.54"/>
    <n v="266.01"/>
    <n v="17.399999999999999"/>
    <s v="Debit Card"/>
    <n v="7.1"/>
  </r>
  <r>
    <s v="INV00331"/>
    <n v="46060"/>
    <s v="13:02"/>
    <x v="3"/>
    <s v="Secunderabad"/>
    <s v="Member"/>
    <s v="Male"/>
    <x v="4"/>
    <n v="157.15"/>
    <n v="8"/>
    <n v="62.86"/>
    <n v="1320.06"/>
    <n v="1035.1400000000001"/>
    <n v="284.92"/>
    <n v="21.58"/>
    <s v="UPI"/>
    <n v="7.4"/>
  </r>
  <r>
    <s v="INV00416"/>
    <n v="46060"/>
    <s v="20:38"/>
    <x v="2"/>
    <s v="Hyderabad"/>
    <s v="Normal"/>
    <s v="Male"/>
    <x v="6"/>
    <n v="163.95"/>
    <n v="9"/>
    <n v="73.78"/>
    <n v="1549.33"/>
    <n v="1033.72"/>
    <n v="515.61"/>
    <n v="33.28"/>
    <s v="Wallet"/>
    <n v="4.5999999999999996"/>
  </r>
  <r>
    <s v="INV00036"/>
    <n v="46061"/>
    <s v="15:27"/>
    <x v="4"/>
    <s v="Vijayawada"/>
    <s v="Normal"/>
    <s v="Male"/>
    <x v="0"/>
    <n v="95.86"/>
    <n v="2"/>
    <n v="9.59"/>
    <n v="201.31"/>
    <n v="166.73"/>
    <n v="34.58"/>
    <n v="17.18"/>
    <s v="Wallet"/>
    <n v="8.4"/>
  </r>
  <r>
    <s v="INV00041"/>
    <n v="46061"/>
    <s v="14:19"/>
    <x v="0"/>
    <s v="Hyderabad"/>
    <s v="Member"/>
    <s v="Male"/>
    <x v="0"/>
    <n v="125.25"/>
    <n v="8"/>
    <n v="50.1"/>
    <n v="1052.0999999999999"/>
    <n v="846.74"/>
    <n v="205.36"/>
    <n v="19.52"/>
    <s v="UPI"/>
    <n v="6.8"/>
  </r>
  <r>
    <s v="INV00156"/>
    <n v="46061"/>
    <s v="15:00"/>
    <x v="3"/>
    <s v="Secunderabad"/>
    <s v="Normal"/>
    <s v="Male"/>
    <x v="1"/>
    <n v="164.52"/>
    <n v="7"/>
    <n v="57.58"/>
    <n v="1209.22"/>
    <n v="919.25"/>
    <n v="289.97000000000003"/>
    <n v="23.98"/>
    <s v="UPI"/>
    <n v="7.9"/>
  </r>
  <r>
    <s v="INV00478"/>
    <n v="46061"/>
    <s v="11:50"/>
    <x v="2"/>
    <s v="Hyderabad"/>
    <s v="Normal"/>
    <s v="Male"/>
    <x v="1"/>
    <n v="120.73"/>
    <n v="2"/>
    <n v="12.07"/>
    <n v="253.53"/>
    <n v="193.94"/>
    <n v="59.59"/>
    <n v="23.5"/>
    <s v="Debit Card"/>
    <n v="8.8000000000000007"/>
  </r>
  <r>
    <s v="INV00397"/>
    <n v="46062"/>
    <s v="17:14"/>
    <x v="4"/>
    <s v="Vijayawada"/>
    <s v="Member"/>
    <s v="Female"/>
    <x v="3"/>
    <n v="452.94"/>
    <n v="7"/>
    <n v="158.53"/>
    <n v="3329.11"/>
    <n v="2428.0500000000002"/>
    <n v="901.06"/>
    <n v="27.07"/>
    <s v="Credit Card"/>
    <n v="8.4"/>
  </r>
  <r>
    <s v="INV00413"/>
    <n v="46063"/>
    <s v="09:16"/>
    <x v="4"/>
    <s v="Vijayawada"/>
    <s v="Member"/>
    <s v="Female"/>
    <x v="7"/>
    <n v="78.150000000000006"/>
    <n v="9"/>
    <n v="35.17"/>
    <n v="738.52"/>
    <n v="591.16999999999996"/>
    <n v="147.35"/>
    <n v="19.95"/>
    <s v="UPI"/>
    <n v="9.5"/>
  </r>
  <r>
    <s v="INV00151"/>
    <n v="46064"/>
    <s v="14:21"/>
    <x v="4"/>
    <s v="Vijayawada"/>
    <s v="Normal"/>
    <s v="Male"/>
    <x v="1"/>
    <n v="133.76"/>
    <n v="10"/>
    <n v="66.88"/>
    <n v="1404.48"/>
    <n v="946.43"/>
    <n v="458.05"/>
    <n v="32.61"/>
    <s v="Credit Card"/>
    <n v="8"/>
  </r>
  <r>
    <s v="INV00457"/>
    <n v="46064"/>
    <s v="15:23"/>
    <x v="0"/>
    <s v="Hyderabad"/>
    <s v="Normal"/>
    <s v="Male"/>
    <x v="7"/>
    <n v="70.89"/>
    <n v="9"/>
    <n v="31.9"/>
    <n v="669.91"/>
    <n v="558.03"/>
    <n v="111.88"/>
    <n v="16.7"/>
    <s v="UPI"/>
    <n v="9.6"/>
  </r>
  <r>
    <s v="INV00020"/>
    <n v="46065"/>
    <s v="16:08"/>
    <x v="3"/>
    <s v="Secunderabad"/>
    <s v="Member"/>
    <s v="Male"/>
    <x v="4"/>
    <n v="222.58"/>
    <n v="2"/>
    <n v="22.26"/>
    <n v="467.42"/>
    <n v="374.52"/>
    <n v="92.9"/>
    <n v="19.88"/>
    <s v="Credit Card"/>
    <n v="8.6"/>
  </r>
  <r>
    <s v="INV00237"/>
    <n v="46065"/>
    <s v="11:01"/>
    <x v="3"/>
    <s v="Secunderabad"/>
    <s v="Normal"/>
    <s v="Male"/>
    <x v="3"/>
    <n v="331.75"/>
    <n v="10"/>
    <n v="165.88"/>
    <n v="3483.38"/>
    <n v="2909.43"/>
    <n v="573.95000000000005"/>
    <n v="16.48"/>
    <s v="Debit Card"/>
    <n v="5.4"/>
  </r>
  <r>
    <s v="INV00066"/>
    <n v="46066"/>
    <s v="14:28"/>
    <x v="2"/>
    <s v="Hyderabad"/>
    <s v="Normal"/>
    <s v="Female"/>
    <x v="7"/>
    <n v="71.739999999999995"/>
    <n v="4"/>
    <n v="14.35"/>
    <n v="301.31"/>
    <n v="218.68"/>
    <n v="82.63"/>
    <n v="27.42"/>
    <s v="Wallet"/>
    <n v="7.9"/>
  </r>
  <r>
    <s v="INV00187"/>
    <n v="46067"/>
    <s v="10:42"/>
    <x v="4"/>
    <s v="Vijayawada"/>
    <s v="Normal"/>
    <s v="Male"/>
    <x v="7"/>
    <n v="91.05"/>
    <n v="4"/>
    <n v="18.21"/>
    <n v="382.41"/>
    <n v="299.35000000000002"/>
    <n v="83.06"/>
    <n v="21.72"/>
    <s v="UPI"/>
    <n v="6.5"/>
  </r>
  <r>
    <s v="INV00280"/>
    <n v="46067"/>
    <s v="18:50"/>
    <x v="4"/>
    <s v="Vijayawada"/>
    <s v="Member"/>
    <s v="Female"/>
    <x v="5"/>
    <n v="115.86"/>
    <n v="10"/>
    <n v="57.93"/>
    <n v="1216.53"/>
    <n v="814.6"/>
    <n v="401.93"/>
    <n v="33.04"/>
    <s v="Debit Card"/>
    <n v="8.6999999999999993"/>
  </r>
  <r>
    <s v="INV00297"/>
    <n v="46067"/>
    <s v="16:45"/>
    <x v="1"/>
    <s v="Warangal"/>
    <s v="Member"/>
    <s v="Female"/>
    <x v="0"/>
    <n v="78.33"/>
    <n v="9"/>
    <n v="35.25"/>
    <n v="740.22"/>
    <n v="565.74"/>
    <n v="174.48"/>
    <n v="23.57"/>
    <s v="UPI"/>
    <n v="6.4"/>
  </r>
  <r>
    <s v="INV00375"/>
    <n v="46067"/>
    <s v="19:45"/>
    <x v="0"/>
    <s v="Hyderabad"/>
    <s v="Member"/>
    <s v="Female"/>
    <x v="1"/>
    <n v="138.02000000000001"/>
    <n v="5"/>
    <n v="34.51"/>
    <n v="724.61"/>
    <n v="593.86"/>
    <n v="130.75"/>
    <n v="18.04"/>
    <s v="Wallet"/>
    <n v="9.1999999999999993"/>
  </r>
  <r>
    <s v="INV00399"/>
    <n v="46067"/>
    <s v="14:16"/>
    <x v="1"/>
    <s v="Warangal"/>
    <s v="Normal"/>
    <s v="Female"/>
    <x v="1"/>
    <n v="144.44999999999999"/>
    <n v="4"/>
    <n v="28.89"/>
    <n v="606.69000000000005"/>
    <n v="435.92"/>
    <n v="170.77"/>
    <n v="28.15"/>
    <s v="Credit Card"/>
    <n v="7.9"/>
  </r>
  <r>
    <s v="INV00469"/>
    <n v="46067"/>
    <s v="15:33"/>
    <x v="0"/>
    <s v="Hyderabad"/>
    <s v="Normal"/>
    <s v="Male"/>
    <x v="7"/>
    <n v="126.13"/>
    <n v="8"/>
    <n v="50.45"/>
    <n v="1059.49"/>
    <n v="811.06"/>
    <n v="248.43"/>
    <n v="23.45"/>
    <s v="Cash"/>
    <n v="8.4"/>
  </r>
  <r>
    <s v="INV00258"/>
    <n v="46068"/>
    <s v="09:15"/>
    <x v="1"/>
    <s v="Warangal"/>
    <s v="Member"/>
    <s v="Female"/>
    <x v="7"/>
    <n v="95.13"/>
    <n v="6"/>
    <n v="28.54"/>
    <n v="599.32000000000005"/>
    <n v="476.4"/>
    <n v="122.92"/>
    <n v="20.51"/>
    <s v="Cash"/>
    <n v="6.4"/>
  </r>
  <r>
    <s v="INV00342"/>
    <n v="46068"/>
    <s v="14:06"/>
    <x v="2"/>
    <s v="Hyderabad"/>
    <s v="Member"/>
    <s v="Female"/>
    <x v="5"/>
    <n v="103.45"/>
    <n v="6"/>
    <n v="31.04"/>
    <n v="651.74"/>
    <n v="527.65"/>
    <n v="124.09"/>
    <n v="19.04"/>
    <s v="Wallet"/>
    <n v="8.4"/>
  </r>
  <r>
    <s v="INV00030"/>
    <n v="46069"/>
    <s v="17:30"/>
    <x v="0"/>
    <s v="Hyderabad"/>
    <s v="Normal"/>
    <s v="Male"/>
    <x v="2"/>
    <n v="49.47"/>
    <n v="10"/>
    <n v="24.74"/>
    <n v="519.44000000000005"/>
    <n v="347.31"/>
    <n v="172.13"/>
    <n v="33.14"/>
    <s v="Cash"/>
    <n v="8.6999999999999993"/>
  </r>
  <r>
    <s v="INV00380"/>
    <n v="46069"/>
    <s v="20:45"/>
    <x v="3"/>
    <s v="Secunderabad"/>
    <s v="Normal"/>
    <s v="Female"/>
    <x v="4"/>
    <n v="201.62"/>
    <n v="4"/>
    <n v="40.32"/>
    <n v="846.8"/>
    <n v="588.94000000000005"/>
    <n v="257.86"/>
    <n v="30.45"/>
    <s v="Credit Card"/>
    <n v="7.4"/>
  </r>
  <r>
    <s v="INV00037"/>
    <n v="46070"/>
    <s v="18:54"/>
    <x v="3"/>
    <s v="Secunderabad"/>
    <s v="Member"/>
    <s v="Male"/>
    <x v="2"/>
    <n v="99.91"/>
    <n v="6"/>
    <n v="29.97"/>
    <n v="629.42999999999995"/>
    <n v="500.2"/>
    <n v="129.22999999999999"/>
    <n v="20.53"/>
    <s v="Debit Card"/>
    <n v="9"/>
  </r>
  <r>
    <s v="INV00476"/>
    <n v="46070"/>
    <s v="09:36"/>
    <x v="4"/>
    <s v="Vijayawada"/>
    <s v="Normal"/>
    <s v="Male"/>
    <x v="4"/>
    <n v="187.39"/>
    <n v="9"/>
    <n v="84.33"/>
    <n v="1770.84"/>
    <n v="1283.01"/>
    <n v="487.83"/>
    <n v="27.55"/>
    <s v="Credit Card"/>
    <n v="8.9"/>
  </r>
  <r>
    <s v="INV00217"/>
    <n v="46072"/>
    <s v="10:00"/>
    <x v="3"/>
    <s v="Secunderabad"/>
    <s v="Member"/>
    <s v="Male"/>
    <x v="2"/>
    <n v="67.63"/>
    <n v="5"/>
    <n v="16.91"/>
    <n v="355.06"/>
    <n v="244.84"/>
    <n v="110.22"/>
    <n v="31.04"/>
    <s v="UPI"/>
    <n v="8.1999999999999993"/>
  </r>
  <r>
    <s v="INV00385"/>
    <n v="46072"/>
    <s v="14:29"/>
    <x v="1"/>
    <s v="Warangal"/>
    <s v="Normal"/>
    <s v="Male"/>
    <x v="2"/>
    <n v="85.43"/>
    <n v="3"/>
    <n v="12.81"/>
    <n v="269.10000000000002"/>
    <n v="199.63"/>
    <n v="69.47"/>
    <n v="25.82"/>
    <s v="Debit Card"/>
    <n v="8.6999999999999993"/>
  </r>
  <r>
    <s v="INV00302"/>
    <n v="46073"/>
    <s v="17:59"/>
    <x v="2"/>
    <s v="Hyderabad"/>
    <s v="Normal"/>
    <s v="Female"/>
    <x v="4"/>
    <n v="155.15"/>
    <n v="5"/>
    <n v="38.79"/>
    <n v="814.54"/>
    <n v="631.41999999999996"/>
    <n v="183.12"/>
    <n v="22.48"/>
    <s v="Credit Card"/>
    <n v="8.8000000000000007"/>
  </r>
  <r>
    <s v="INV00152"/>
    <n v="46075"/>
    <s v="14:33"/>
    <x v="0"/>
    <s v="Hyderabad"/>
    <s v="Normal"/>
    <s v="Female"/>
    <x v="7"/>
    <n v="67.2"/>
    <n v="8"/>
    <n v="26.88"/>
    <n v="564.48"/>
    <n v="422.7"/>
    <n v="141.78"/>
    <n v="25.12"/>
    <s v="UPI"/>
    <n v="7.2"/>
  </r>
  <r>
    <s v="INV00293"/>
    <n v="46075"/>
    <s v="17:36"/>
    <x v="4"/>
    <s v="Vijayawada"/>
    <s v="Member"/>
    <s v="Male"/>
    <x v="6"/>
    <n v="245.45"/>
    <n v="4"/>
    <n v="49.09"/>
    <n v="1030.8900000000001"/>
    <n v="816.8"/>
    <n v="214.09"/>
    <n v="20.77"/>
    <s v="Credit Card"/>
    <n v="7.7"/>
  </r>
  <r>
    <s v="INV00335"/>
    <n v="46076"/>
    <s v="09:11"/>
    <x v="0"/>
    <s v="Hyderabad"/>
    <s v="Normal"/>
    <s v="Male"/>
    <x v="6"/>
    <n v="206.96"/>
    <n v="5"/>
    <n v="51.74"/>
    <n v="1086.54"/>
    <n v="809.09"/>
    <n v="277.45"/>
    <n v="25.54"/>
    <s v="Credit Card"/>
    <n v="8.3000000000000007"/>
  </r>
  <r>
    <s v="INV00132"/>
    <n v="46077"/>
    <s v="14:34"/>
    <x v="0"/>
    <s v="Hyderabad"/>
    <s v="Member"/>
    <s v="Male"/>
    <x v="0"/>
    <n v="146.97"/>
    <n v="10"/>
    <n v="73.48"/>
    <n v="1543.18"/>
    <n v="1222.26"/>
    <n v="320.92"/>
    <n v="20.8"/>
    <s v="Cash"/>
    <n v="8.6"/>
  </r>
  <r>
    <s v="INV00247"/>
    <n v="46078"/>
    <s v="21:32"/>
    <x v="2"/>
    <s v="Hyderabad"/>
    <s v="Member"/>
    <s v="Female"/>
    <x v="3"/>
    <n v="355.78"/>
    <n v="1"/>
    <n v="17.79"/>
    <n v="373.57"/>
    <n v="301.83999999999997"/>
    <n v="71.73"/>
    <n v="19.2"/>
    <s v="Wallet"/>
    <n v="8.4"/>
  </r>
  <r>
    <s v="INV00371"/>
    <n v="46079"/>
    <s v="21:22"/>
    <x v="0"/>
    <s v="Hyderabad"/>
    <s v="Normal"/>
    <s v="Female"/>
    <x v="3"/>
    <n v="409.97"/>
    <n v="1"/>
    <n v="20.5"/>
    <n v="430.47"/>
    <n v="312.62"/>
    <n v="117.85"/>
    <n v="27.38"/>
    <s v="Cash"/>
    <n v="7.5"/>
  </r>
  <r>
    <s v="INV00393"/>
    <n v="46079"/>
    <s v="13:10"/>
    <x v="3"/>
    <s v="Secunderabad"/>
    <s v="Member"/>
    <s v="Female"/>
    <x v="2"/>
    <n v="89.28"/>
    <n v="6"/>
    <n v="26.78"/>
    <n v="562.46"/>
    <n v="435.78"/>
    <n v="126.68"/>
    <n v="22.52"/>
    <s v="Debit Card"/>
    <n v="6.6"/>
  </r>
  <r>
    <s v="INV00412"/>
    <n v="46080"/>
    <s v="18:57"/>
    <x v="4"/>
    <s v="Vijayawada"/>
    <s v="Member"/>
    <s v="Male"/>
    <x v="4"/>
    <n v="284.37"/>
    <n v="10"/>
    <n v="142.18"/>
    <n v="2985.88"/>
    <n v="2235.52"/>
    <n v="750.36"/>
    <n v="25.13"/>
    <s v="Debit Card"/>
    <n v="7.9"/>
  </r>
  <r>
    <s v="INV00241"/>
    <n v="46081"/>
    <s v="14:21"/>
    <x v="4"/>
    <s v="Vijayawada"/>
    <s v="Normal"/>
    <s v="Female"/>
    <x v="6"/>
    <n v="162.55000000000001"/>
    <n v="4"/>
    <n v="32.51"/>
    <n v="682.71"/>
    <n v="472.77"/>
    <n v="209.94"/>
    <n v="30.75"/>
    <s v="Cash"/>
    <n v="8.6999999999999993"/>
  </r>
  <r>
    <s v="INV00194"/>
    <n v="46082"/>
    <s v="12:23"/>
    <x v="2"/>
    <s v="Hyderabad"/>
    <s v="Normal"/>
    <s v="Male"/>
    <x v="4"/>
    <n v="276.55"/>
    <n v="6"/>
    <n v="82.97"/>
    <n v="1742.27"/>
    <n v="1265.1400000000001"/>
    <n v="477.13"/>
    <n v="27.39"/>
    <s v="Debit Card"/>
    <n v="7.8"/>
  </r>
  <r>
    <s v="INV00243"/>
    <n v="46085"/>
    <s v="09:53"/>
    <x v="4"/>
    <s v="Vijayawada"/>
    <s v="Normal"/>
    <s v="Female"/>
    <x v="2"/>
    <n v="88.16"/>
    <n v="9"/>
    <n v="39.67"/>
    <n v="833.11"/>
    <n v="621.66999999999996"/>
    <n v="211.44"/>
    <n v="25.38"/>
    <s v="Debit Card"/>
    <n v="7"/>
  </r>
  <r>
    <s v="INV00283"/>
    <n v="46085"/>
    <s v="19:27"/>
    <x v="3"/>
    <s v="Secunderabad"/>
    <s v="Member"/>
    <s v="Male"/>
    <x v="4"/>
    <n v="186"/>
    <n v="2"/>
    <n v="18.600000000000001"/>
    <n v="390.6"/>
    <n v="281.08999999999997"/>
    <n v="109.51"/>
    <n v="28.04"/>
    <s v="Credit Card"/>
    <n v="8.6999999999999993"/>
  </r>
  <r>
    <s v="INV00357"/>
    <n v="46086"/>
    <s v="21:19"/>
    <x v="0"/>
    <s v="Hyderabad"/>
    <s v="Normal"/>
    <s v="Female"/>
    <x v="1"/>
    <n v="99.68"/>
    <n v="7"/>
    <n v="34.89"/>
    <n v="732.65"/>
    <n v="611.04"/>
    <n v="121.61"/>
    <n v="16.600000000000001"/>
    <s v="Cash"/>
    <n v="8.6"/>
  </r>
  <r>
    <s v="INV00353"/>
    <n v="46087"/>
    <s v="19:25"/>
    <x v="1"/>
    <s v="Warangal"/>
    <s v="Member"/>
    <s v="Male"/>
    <x v="4"/>
    <n v="262.27"/>
    <n v="1"/>
    <n v="13.11"/>
    <n v="275.38"/>
    <n v="195.22"/>
    <n v="80.16"/>
    <n v="29.11"/>
    <s v="UPI"/>
    <n v="7.4"/>
  </r>
  <r>
    <s v="INV00048"/>
    <n v="46088"/>
    <s v="15:34"/>
    <x v="2"/>
    <s v="Hyderabad"/>
    <s v="Member"/>
    <s v="Female"/>
    <x v="5"/>
    <n v="54.35"/>
    <n v="7"/>
    <n v="19.02"/>
    <n v="399.47"/>
    <n v="271.56"/>
    <n v="127.91"/>
    <n v="32.020000000000003"/>
    <s v="UPI"/>
    <n v="8.3000000000000007"/>
  </r>
  <r>
    <s v="INV00278"/>
    <n v="46088"/>
    <s v="09:09"/>
    <x v="1"/>
    <s v="Warangal"/>
    <s v="Normal"/>
    <s v="Female"/>
    <x v="2"/>
    <n v="99.12"/>
    <n v="1"/>
    <n v="4.96"/>
    <n v="104.08"/>
    <n v="74.95"/>
    <n v="29.13"/>
    <n v="27.99"/>
    <s v="Wallet"/>
    <n v="6.5"/>
  </r>
  <r>
    <s v="INV00421"/>
    <n v="46088"/>
    <s v="12:17"/>
    <x v="4"/>
    <s v="Vijayawada"/>
    <s v="Member"/>
    <s v="Male"/>
    <x v="2"/>
    <n v="81.61"/>
    <n v="3"/>
    <n v="12.24"/>
    <n v="257.07"/>
    <n v="188.82"/>
    <n v="68.25"/>
    <n v="26.55"/>
    <s v="Debit Card"/>
    <n v="5.0999999999999996"/>
  </r>
  <r>
    <s v="INV00177"/>
    <n v="46089"/>
    <s v="14:50"/>
    <x v="1"/>
    <s v="Warangal"/>
    <s v="Normal"/>
    <s v="Female"/>
    <x v="1"/>
    <n v="107.72"/>
    <n v="8"/>
    <n v="43.09"/>
    <n v="904.85"/>
    <n v="661.13"/>
    <n v="243.72"/>
    <n v="26.93"/>
    <s v="Debit Card"/>
    <n v="8.9"/>
  </r>
  <r>
    <s v="INV00260"/>
    <n v="46089"/>
    <s v="15:15"/>
    <x v="0"/>
    <s v="Hyderabad"/>
    <s v="Normal"/>
    <s v="Male"/>
    <x v="2"/>
    <n v="95.51"/>
    <n v="7"/>
    <n v="33.43"/>
    <n v="702"/>
    <n v="553.05999999999995"/>
    <n v="148.94"/>
    <n v="21.22"/>
    <s v="Credit Card"/>
    <n v="5.9"/>
  </r>
  <r>
    <s v="INV00115"/>
    <n v="46090"/>
    <s v="21:31"/>
    <x v="2"/>
    <s v="Hyderabad"/>
    <s v="Normal"/>
    <s v="Female"/>
    <x v="0"/>
    <n v="122.29"/>
    <n v="4"/>
    <n v="24.46"/>
    <n v="513.62"/>
    <n v="381.07"/>
    <n v="132.55000000000001"/>
    <n v="25.81"/>
    <s v="Wallet"/>
    <n v="7.4"/>
  </r>
  <r>
    <s v="INV00257"/>
    <n v="46090"/>
    <s v="15:57"/>
    <x v="4"/>
    <s v="Vijayawada"/>
    <s v="Member"/>
    <s v="Female"/>
    <x v="7"/>
    <n v="126.65"/>
    <n v="7"/>
    <n v="44.33"/>
    <n v="930.88"/>
    <n v="635.64"/>
    <n v="295.24"/>
    <n v="31.72"/>
    <s v="Credit Card"/>
    <n v="6.4"/>
  </r>
  <r>
    <s v="INV00065"/>
    <n v="46092"/>
    <s v="10:22"/>
    <x v="3"/>
    <s v="Secunderabad"/>
    <s v="Member"/>
    <s v="Female"/>
    <x v="3"/>
    <n v="462.16"/>
    <n v="8"/>
    <n v="184.86"/>
    <n v="3882.14"/>
    <n v="3176.66"/>
    <n v="705.48"/>
    <n v="18.170000000000002"/>
    <s v="UPI"/>
    <n v="7.6"/>
  </r>
  <r>
    <s v="INV00473"/>
    <n v="46092"/>
    <s v="15:39"/>
    <x v="0"/>
    <s v="Hyderabad"/>
    <s v="Normal"/>
    <s v="Female"/>
    <x v="2"/>
    <n v="89.2"/>
    <n v="7"/>
    <n v="31.22"/>
    <n v="655.62"/>
    <n v="465.49"/>
    <n v="190.13"/>
    <n v="29"/>
    <s v="UPI"/>
    <n v="8.6"/>
  </r>
  <r>
    <s v="INV00008"/>
    <n v="46093"/>
    <s v="18:44"/>
    <x v="4"/>
    <s v="Vijayawada"/>
    <s v="Normal"/>
    <s v="Male"/>
    <x v="2"/>
    <n v="69.599999999999994"/>
    <n v="9"/>
    <n v="31.32"/>
    <n v="657.72"/>
    <n v="442.43"/>
    <n v="215.29"/>
    <n v="32.729999999999997"/>
    <s v="Credit Card"/>
    <n v="7.8"/>
  </r>
  <r>
    <s v="INV00197"/>
    <n v="46093"/>
    <s v="14:48"/>
    <x v="1"/>
    <s v="Warangal"/>
    <s v="Normal"/>
    <s v="Female"/>
    <x v="4"/>
    <n v="180.07"/>
    <n v="9"/>
    <n v="81.03"/>
    <n v="1701.66"/>
    <n v="1209.77"/>
    <n v="491.89"/>
    <n v="28.91"/>
    <s v="Credit Card"/>
    <n v="8.6999999999999993"/>
  </r>
  <r>
    <s v="INV00199"/>
    <n v="46093"/>
    <s v="15:18"/>
    <x v="4"/>
    <s v="Vijayawada"/>
    <s v="Normal"/>
    <s v="Male"/>
    <x v="4"/>
    <n v="146.18"/>
    <n v="8"/>
    <n v="58.47"/>
    <n v="1227.9100000000001"/>
    <n v="909.79"/>
    <n v="318.12"/>
    <n v="25.91"/>
    <s v="UPI"/>
    <n v="7.5"/>
  </r>
  <r>
    <s v="INV00343"/>
    <n v="46094"/>
    <s v="12:15"/>
    <x v="0"/>
    <s v="Hyderabad"/>
    <s v="Normal"/>
    <s v="Female"/>
    <x v="4"/>
    <n v="229.32"/>
    <n v="8"/>
    <n v="91.73"/>
    <n v="1926.29"/>
    <n v="1496.38"/>
    <n v="429.91"/>
    <n v="22.32"/>
    <s v="UPI"/>
    <n v="8.1999999999999993"/>
  </r>
  <r>
    <s v="INV00455"/>
    <n v="46095"/>
    <s v="16:05"/>
    <x v="0"/>
    <s v="Hyderabad"/>
    <s v="Member"/>
    <s v="Male"/>
    <x v="6"/>
    <n v="234.23"/>
    <n v="4"/>
    <n v="46.85"/>
    <n v="983.77"/>
    <n v="802.5"/>
    <n v="181.27"/>
    <n v="18.43"/>
    <s v="Debit Card"/>
    <n v="5.4"/>
  </r>
  <r>
    <s v="INV00487"/>
    <n v="46095"/>
    <s v="18:25"/>
    <x v="0"/>
    <s v="Hyderabad"/>
    <s v="Member"/>
    <s v="Female"/>
    <x v="5"/>
    <n v="115.44"/>
    <n v="2"/>
    <n v="11.54"/>
    <n v="242.42"/>
    <n v="187.53"/>
    <n v="54.89"/>
    <n v="22.64"/>
    <s v="Wallet"/>
    <n v="6.4"/>
  </r>
  <r>
    <s v="INV00155"/>
    <n v="46096"/>
    <s v="09:17"/>
    <x v="4"/>
    <s v="Vijayawada"/>
    <s v="Normal"/>
    <s v="Male"/>
    <x v="6"/>
    <n v="220.46"/>
    <n v="4"/>
    <n v="44.09"/>
    <n v="925.93"/>
    <n v="751.88"/>
    <n v="174.05"/>
    <n v="18.8"/>
    <s v="Cash"/>
    <n v="6"/>
  </r>
  <r>
    <s v="INV00415"/>
    <n v="46097"/>
    <s v="11:00"/>
    <x v="2"/>
    <s v="Hyderabad"/>
    <s v="Member"/>
    <s v="Male"/>
    <x v="7"/>
    <n v="107.94"/>
    <n v="6"/>
    <n v="32.380000000000003"/>
    <n v="680.02"/>
    <n v="489.68"/>
    <n v="190.34"/>
    <n v="27.99"/>
    <s v="Credit Card"/>
    <n v="7.1"/>
  </r>
  <r>
    <s v="INV00419"/>
    <n v="46097"/>
    <s v="18:20"/>
    <x v="1"/>
    <s v="Warangal"/>
    <s v="Member"/>
    <s v="Female"/>
    <x v="2"/>
    <n v="86.86"/>
    <n v="4"/>
    <n v="17.37"/>
    <n v="364.81"/>
    <n v="270.83"/>
    <n v="93.98"/>
    <n v="25.76"/>
    <s v="Debit Card"/>
    <n v="5.0999999999999996"/>
  </r>
  <r>
    <s v="INV00087"/>
    <n v="46098"/>
    <s v="16:06"/>
    <x v="1"/>
    <s v="Warangal"/>
    <s v="Normal"/>
    <s v="Female"/>
    <x v="1"/>
    <n v="147.16999999999999"/>
    <n v="8"/>
    <n v="58.87"/>
    <n v="1236.23"/>
    <n v="849.9"/>
    <n v="386.33"/>
    <n v="31.25"/>
    <s v="UPI"/>
    <n v="6.6"/>
  </r>
  <r>
    <s v="INV00284"/>
    <n v="46098"/>
    <s v="09:45"/>
    <x v="0"/>
    <s v="Hyderabad"/>
    <s v="Member"/>
    <s v="Female"/>
    <x v="3"/>
    <n v="211.66"/>
    <n v="1"/>
    <n v="10.58"/>
    <n v="222.24"/>
    <n v="153.22"/>
    <n v="69.02"/>
    <n v="31.06"/>
    <s v="Wallet"/>
    <n v="8.1"/>
  </r>
  <r>
    <s v="INV00310"/>
    <n v="46098"/>
    <s v="15:28"/>
    <x v="3"/>
    <s v="Secunderabad"/>
    <s v="Normal"/>
    <s v="Female"/>
    <x v="1"/>
    <n v="152.32"/>
    <n v="9"/>
    <n v="68.540000000000006"/>
    <n v="1439.42"/>
    <n v="1193.8399999999999"/>
    <n v="245.58"/>
    <n v="17.059999999999999"/>
    <s v="Credit Card"/>
    <n v="8"/>
  </r>
  <r>
    <s v="INV00174"/>
    <n v="46099"/>
    <s v="21:41"/>
    <x v="0"/>
    <s v="Hyderabad"/>
    <s v="Member"/>
    <s v="Female"/>
    <x v="7"/>
    <n v="96.6"/>
    <n v="4"/>
    <n v="19.32"/>
    <n v="405.72"/>
    <n v="296.86"/>
    <n v="108.86"/>
    <n v="26.83"/>
    <s v="UPI"/>
    <n v="8.3000000000000007"/>
  </r>
  <r>
    <s v="INV00191"/>
    <n v="46099"/>
    <s v="20:41"/>
    <x v="0"/>
    <s v="Hyderabad"/>
    <s v="Member"/>
    <s v="Female"/>
    <x v="3"/>
    <n v="349.75"/>
    <n v="9"/>
    <n v="157.38999999999999"/>
    <n v="3305.14"/>
    <n v="2607.54"/>
    <n v="697.6"/>
    <n v="21.11"/>
    <s v="UPI"/>
    <n v="7.1"/>
  </r>
  <r>
    <s v="INV00196"/>
    <n v="46099"/>
    <s v="16:00"/>
    <x v="3"/>
    <s v="Secunderabad"/>
    <s v="Normal"/>
    <s v="Female"/>
    <x v="7"/>
    <n v="84.73"/>
    <n v="5"/>
    <n v="21.18"/>
    <n v="444.83"/>
    <n v="308.66000000000003"/>
    <n v="136.16999999999999"/>
    <n v="30.61"/>
    <s v="Credit Card"/>
    <n v="6.8"/>
  </r>
  <r>
    <s v="INV00332"/>
    <n v="46099"/>
    <s v="10:32"/>
    <x v="1"/>
    <s v="Warangal"/>
    <s v="Normal"/>
    <s v="Female"/>
    <x v="6"/>
    <n v="251.77"/>
    <n v="1"/>
    <n v="12.59"/>
    <n v="264.36"/>
    <n v="177.37"/>
    <n v="86.99"/>
    <n v="32.909999999999997"/>
    <s v="UPI"/>
    <n v="7.6"/>
  </r>
  <r>
    <s v="INV00364"/>
    <n v="46099"/>
    <s v="09:12"/>
    <x v="2"/>
    <s v="Hyderabad"/>
    <s v="Normal"/>
    <s v="Female"/>
    <x v="6"/>
    <n v="229.9"/>
    <n v="2"/>
    <n v="22.99"/>
    <n v="482.79"/>
    <n v="339.76"/>
    <n v="143.03"/>
    <n v="29.63"/>
    <s v="Wallet"/>
    <n v="9.6999999999999993"/>
  </r>
  <r>
    <s v="INV00400"/>
    <n v="46099"/>
    <s v="18:20"/>
    <x v="1"/>
    <s v="Warangal"/>
    <s v="Normal"/>
    <s v="Female"/>
    <x v="1"/>
    <n v="147.34"/>
    <n v="9"/>
    <n v="66.3"/>
    <n v="1392.36"/>
    <n v="1161.05"/>
    <n v="231.31"/>
    <n v="16.61"/>
    <s v="Cash"/>
    <n v="7.3"/>
  </r>
  <r>
    <s v="INV00023"/>
    <n v="46100"/>
    <s v="16:59"/>
    <x v="3"/>
    <s v="Secunderabad"/>
    <s v="Normal"/>
    <s v="Female"/>
    <x v="0"/>
    <n v="114.41"/>
    <n v="10"/>
    <n v="57.2"/>
    <n v="1201.3"/>
    <n v="922.42"/>
    <n v="278.88"/>
    <n v="23.21"/>
    <s v="Wallet"/>
    <n v="7.1"/>
  </r>
  <r>
    <s v="INV00195"/>
    <n v="46100"/>
    <s v="19:37"/>
    <x v="3"/>
    <s v="Secunderabad"/>
    <s v="Member"/>
    <s v="Female"/>
    <x v="1"/>
    <n v="145.34"/>
    <n v="6"/>
    <n v="43.6"/>
    <n v="915.64"/>
    <n v="671.76"/>
    <n v="243.88"/>
    <n v="26.63"/>
    <s v="Cash"/>
    <n v="7.2"/>
  </r>
  <r>
    <s v="INV00224"/>
    <n v="46100"/>
    <s v="20:58"/>
    <x v="3"/>
    <s v="Secunderabad"/>
    <s v="Normal"/>
    <s v="Male"/>
    <x v="2"/>
    <n v="85.94"/>
    <n v="8"/>
    <n v="34.380000000000003"/>
    <n v="721.9"/>
    <n v="560.07000000000005"/>
    <n v="161.83000000000001"/>
    <n v="22.42"/>
    <s v="Credit Card"/>
    <n v="9"/>
  </r>
  <r>
    <s v="INV00238"/>
    <n v="46100"/>
    <s v="18:49"/>
    <x v="0"/>
    <s v="Hyderabad"/>
    <s v="Member"/>
    <s v="Male"/>
    <x v="2"/>
    <n v="93.86"/>
    <n v="6"/>
    <n v="28.16"/>
    <n v="591.32000000000005"/>
    <n v="473.96"/>
    <n v="117.36"/>
    <n v="19.850000000000001"/>
    <s v="Credit Card"/>
    <n v="6.8"/>
  </r>
  <r>
    <s v="INV00330"/>
    <n v="46102"/>
    <s v="10:31"/>
    <x v="3"/>
    <s v="Secunderabad"/>
    <s v="Member"/>
    <s v="Female"/>
    <x v="6"/>
    <n v="216.13"/>
    <n v="4"/>
    <n v="43.23"/>
    <n v="907.75"/>
    <n v="614.59"/>
    <n v="293.16000000000003"/>
    <n v="32.299999999999997"/>
    <s v="Cash"/>
    <n v="10"/>
  </r>
  <r>
    <s v="INV00461"/>
    <n v="46102"/>
    <s v="12:31"/>
    <x v="0"/>
    <s v="Hyderabad"/>
    <s v="Member"/>
    <s v="Female"/>
    <x v="1"/>
    <n v="183.93"/>
    <n v="3"/>
    <n v="27.59"/>
    <n v="579.38"/>
    <n v="399.33"/>
    <n v="180.05"/>
    <n v="31.08"/>
    <s v="Cash"/>
    <n v="7.6"/>
  </r>
  <r>
    <s v="INV00275"/>
    <n v="46104"/>
    <s v="18:33"/>
    <x v="2"/>
    <s v="Hyderabad"/>
    <s v="Member"/>
    <s v="Female"/>
    <x v="2"/>
    <n v="90.55"/>
    <n v="1"/>
    <n v="4.53"/>
    <n v="95.08"/>
    <n v="70"/>
    <n v="25.08"/>
    <n v="26.38"/>
    <s v="Credit Card"/>
    <n v="7"/>
  </r>
  <r>
    <s v="INV00277"/>
    <n v="46104"/>
    <s v="20:16"/>
    <x v="4"/>
    <s v="Vijayawada"/>
    <s v="Member"/>
    <s v="Male"/>
    <x v="4"/>
    <n v="171.9"/>
    <n v="1"/>
    <n v="8.6"/>
    <n v="180.5"/>
    <n v="122.81"/>
    <n v="57.69"/>
    <n v="31.96"/>
    <s v="Debit Card"/>
    <n v="6.2"/>
  </r>
  <r>
    <s v="INV00309"/>
    <n v="46104"/>
    <s v="13:17"/>
    <x v="4"/>
    <s v="Vijayawada"/>
    <s v="Member"/>
    <s v="Male"/>
    <x v="6"/>
    <n v="131.63"/>
    <n v="10"/>
    <n v="65.819999999999993"/>
    <n v="1382.12"/>
    <n v="1040.83"/>
    <n v="341.29"/>
    <n v="24.69"/>
    <s v="Debit Card"/>
    <n v="7.1"/>
  </r>
  <r>
    <s v="INV00164"/>
    <n v="46105"/>
    <s v="15:35"/>
    <x v="2"/>
    <s v="Hyderabad"/>
    <s v="Normal"/>
    <s v="Male"/>
    <x v="4"/>
    <n v="141.13"/>
    <n v="7"/>
    <n v="49.4"/>
    <n v="1037.31"/>
    <n v="770.92"/>
    <n v="266.39"/>
    <n v="25.68"/>
    <s v="Credit Card"/>
    <n v="6.7"/>
  </r>
  <r>
    <s v="INV00181"/>
    <n v="46106"/>
    <s v="16:17"/>
    <x v="3"/>
    <s v="Secunderabad"/>
    <s v="Normal"/>
    <s v="Male"/>
    <x v="2"/>
    <n v="79.260000000000005"/>
    <n v="2"/>
    <n v="7.93"/>
    <n v="166.45"/>
    <n v="112.35"/>
    <n v="54.1"/>
    <n v="32.5"/>
    <s v="Debit Card"/>
    <n v="6.8"/>
  </r>
  <r>
    <s v="INV00387"/>
    <n v="46106"/>
    <s v="16:06"/>
    <x v="3"/>
    <s v="Secunderabad"/>
    <s v="Normal"/>
    <s v="Male"/>
    <x v="5"/>
    <n v="113.83"/>
    <n v="2"/>
    <n v="11.38"/>
    <n v="239.04"/>
    <n v="199.74"/>
    <n v="39.299999999999997"/>
    <n v="16.440000000000001"/>
    <s v="UPI"/>
    <n v="8.6999999999999993"/>
  </r>
  <r>
    <s v="INV00131"/>
    <n v="46107"/>
    <s v="13:52"/>
    <x v="3"/>
    <s v="Secunderabad"/>
    <s v="Normal"/>
    <s v="Female"/>
    <x v="5"/>
    <n v="104.64"/>
    <n v="5"/>
    <n v="26.16"/>
    <n v="549.36"/>
    <n v="449.26"/>
    <n v="100.1"/>
    <n v="18.22"/>
    <s v="Debit Card"/>
    <n v="8.4"/>
  </r>
  <r>
    <s v="INV00185"/>
    <n v="46107"/>
    <s v="09:03"/>
    <x v="3"/>
    <s v="Secunderabad"/>
    <s v="Member"/>
    <s v="Female"/>
    <x v="0"/>
    <n v="156.08000000000001"/>
    <n v="5"/>
    <n v="39.020000000000003"/>
    <n v="819.42"/>
    <n v="619.48"/>
    <n v="199.94"/>
    <n v="24.4"/>
    <s v="Debit Card"/>
    <n v="10"/>
  </r>
  <r>
    <s v="INV00347"/>
    <n v="46107"/>
    <s v="14:15"/>
    <x v="2"/>
    <s v="Hyderabad"/>
    <s v="Member"/>
    <s v="Female"/>
    <x v="1"/>
    <n v="125.73"/>
    <n v="3"/>
    <n v="18.86"/>
    <n v="396.05"/>
    <n v="304.37"/>
    <n v="91.68"/>
    <n v="23.15"/>
    <s v="Debit Card"/>
    <n v="6.9"/>
  </r>
  <r>
    <s v="INV00350"/>
    <n v="46107"/>
    <s v="20:05"/>
    <x v="2"/>
    <s v="Hyderabad"/>
    <s v="Member"/>
    <s v="Male"/>
    <x v="7"/>
    <n v="71.92"/>
    <n v="2"/>
    <n v="7.19"/>
    <n v="151.03"/>
    <n v="106.66"/>
    <n v="44.37"/>
    <n v="29.38"/>
    <s v="Credit Card"/>
    <n v="7.2"/>
  </r>
  <r>
    <s v="INV00069"/>
    <n v="46108"/>
    <s v="16:10"/>
    <x v="0"/>
    <s v="Hyderabad"/>
    <s v="Member"/>
    <s v="Female"/>
    <x v="0"/>
    <n v="108.62"/>
    <n v="1"/>
    <n v="5.43"/>
    <n v="114.05"/>
    <n v="76.290000000000006"/>
    <n v="37.76"/>
    <n v="33.11"/>
    <s v="Debit Card"/>
    <n v="7"/>
  </r>
  <r>
    <s v="INV00061"/>
    <n v="46109"/>
    <s v="15:26"/>
    <x v="3"/>
    <s v="Secunderabad"/>
    <s v="Normal"/>
    <s v="Female"/>
    <x v="5"/>
    <n v="84.47"/>
    <n v="2"/>
    <n v="8.4499999999999993"/>
    <n v="177.39"/>
    <n v="143.46"/>
    <n v="33.93"/>
    <n v="19.13"/>
    <s v="Debit Card"/>
    <n v="6.8"/>
  </r>
  <r>
    <s v="INV00189"/>
    <n v="46109"/>
    <s v="18:13"/>
    <x v="2"/>
    <s v="Hyderabad"/>
    <s v="Member"/>
    <s v="Female"/>
    <x v="2"/>
    <n v="75.819999999999993"/>
    <n v="5"/>
    <n v="18.95"/>
    <n v="398.05"/>
    <n v="266.37"/>
    <n v="131.68"/>
    <n v="33.08"/>
    <s v="Credit Card"/>
    <n v="8.1999999999999993"/>
  </r>
  <r>
    <s v="INV00334"/>
    <n v="46109"/>
    <s v="09:43"/>
    <x v="0"/>
    <s v="Hyderabad"/>
    <s v="Normal"/>
    <s v="Female"/>
    <x v="4"/>
    <n v="211.99"/>
    <n v="5"/>
    <n v="53"/>
    <n v="1112.95"/>
    <n v="828.5"/>
    <n v="284.45"/>
    <n v="25.56"/>
    <s v="Wallet"/>
    <n v="6.9"/>
  </r>
  <r>
    <s v="INV00358"/>
    <n v="46109"/>
    <s v="11:51"/>
    <x v="2"/>
    <s v="Hyderabad"/>
    <s v="Member"/>
    <s v="Male"/>
    <x v="6"/>
    <n v="161.12"/>
    <n v="7"/>
    <n v="56.39"/>
    <n v="1184.23"/>
    <n v="928.24"/>
    <n v="255.99"/>
    <n v="21.62"/>
    <s v="Wallet"/>
    <n v="6"/>
  </r>
  <r>
    <s v="INV00367"/>
    <n v="46109"/>
    <s v="13:27"/>
    <x v="4"/>
    <s v="Vijayawada"/>
    <s v="Normal"/>
    <s v="Male"/>
    <x v="4"/>
    <n v="197.02"/>
    <n v="9"/>
    <n v="88.66"/>
    <n v="1861.84"/>
    <n v="1438.79"/>
    <n v="423.05"/>
    <n v="22.72"/>
    <s v="Credit Card"/>
    <n v="7.5"/>
  </r>
  <r>
    <s v="INV00402"/>
    <n v="46109"/>
    <s v="17:10"/>
    <x v="4"/>
    <s v="Vijayawada"/>
    <s v="Member"/>
    <s v="Female"/>
    <x v="1"/>
    <n v="137.02000000000001"/>
    <n v="4"/>
    <n v="27.4"/>
    <n v="575.48"/>
    <n v="472.27"/>
    <n v="103.21"/>
    <n v="17.93"/>
    <s v="UPI"/>
    <n v="8.6"/>
  </r>
  <r>
    <s v="INV00378"/>
    <n v="46110"/>
    <s v="10:35"/>
    <x v="0"/>
    <s v="Hyderabad"/>
    <s v="Member"/>
    <s v="Female"/>
    <x v="5"/>
    <n v="95.97"/>
    <n v="2"/>
    <n v="9.6"/>
    <n v="201.54"/>
    <n v="161.63"/>
    <n v="39.909999999999997"/>
    <n v="19.8"/>
    <s v="UPI"/>
    <n v="8"/>
  </r>
  <r>
    <s v="INV00433"/>
    <n v="46110"/>
    <s v="13:19"/>
    <x v="2"/>
    <s v="Hyderabad"/>
    <s v="Member"/>
    <s v="Male"/>
    <x v="0"/>
    <n v="72.790000000000006"/>
    <n v="9"/>
    <n v="32.76"/>
    <n v="687.87"/>
    <n v="524.91"/>
    <n v="162.96"/>
    <n v="23.69"/>
    <s v="UPI"/>
    <n v="7.2"/>
  </r>
  <r>
    <s v="INV00485"/>
    <n v="46110"/>
    <s v="12:48"/>
    <x v="2"/>
    <s v="Hyderabad"/>
    <s v="Member"/>
    <s v="Female"/>
    <x v="2"/>
    <n v="98.29"/>
    <n v="7"/>
    <n v="34.4"/>
    <n v="722.43"/>
    <n v="554.55999999999995"/>
    <n v="167.87"/>
    <n v="23.24"/>
    <s v="Debit Card"/>
    <n v="6.6"/>
  </r>
  <r>
    <s v="INV00219"/>
    <n v="46111"/>
    <s v="21:05"/>
    <x v="1"/>
    <s v="Warangal"/>
    <s v="Normal"/>
    <s v="Male"/>
    <x v="1"/>
    <n v="149.41"/>
    <n v="3"/>
    <n v="22.41"/>
    <n v="470.64"/>
    <n v="350.13"/>
    <n v="120.51"/>
    <n v="25.61"/>
    <s v="UPI"/>
    <n v="8"/>
  </r>
  <r>
    <s v="INV00445"/>
    <n v="46111"/>
    <s v="14:37"/>
    <x v="4"/>
    <s v="Vijayawada"/>
    <s v="Normal"/>
    <s v="Female"/>
    <x v="4"/>
    <n v="298.37"/>
    <n v="9"/>
    <n v="134.27000000000001"/>
    <n v="2819.6"/>
    <n v="1939.3"/>
    <n v="880.3"/>
    <n v="31.22"/>
    <s v="UPI"/>
    <n v="6.4"/>
  </r>
  <r>
    <s v="INV00467"/>
    <n v="46111"/>
    <s v="18:25"/>
    <x v="3"/>
    <s v="Secunderabad"/>
    <s v="Normal"/>
    <s v="Male"/>
    <x v="5"/>
    <n v="93.37"/>
    <n v="2"/>
    <n v="9.34"/>
    <n v="196.08"/>
    <n v="161.08000000000001"/>
    <n v="35"/>
    <n v="17.850000000000001"/>
    <s v="Cash"/>
    <n v="8"/>
  </r>
  <r>
    <s v="INV00054"/>
    <n v="46112"/>
    <s v="17:15"/>
    <x v="4"/>
    <s v="Vijayawada"/>
    <s v="Normal"/>
    <s v="Female"/>
    <x v="7"/>
    <n v="84.06"/>
    <n v="6"/>
    <n v="25.22"/>
    <n v="529.58000000000004"/>
    <n v="410.45"/>
    <n v="119.13"/>
    <n v="22.5"/>
    <s v="UPI"/>
    <n v="7.3"/>
  </r>
  <r>
    <s v="INV00060"/>
    <n v="46112"/>
    <s v="21:12"/>
    <x v="3"/>
    <s v="Secunderabad"/>
    <s v="Normal"/>
    <s v="Female"/>
    <x v="7"/>
    <n v="87.99"/>
    <n v="2"/>
    <n v="8.8000000000000007"/>
    <n v="184.78"/>
    <n v="125.65"/>
    <n v="59.13"/>
    <n v="32"/>
    <s v="UPI"/>
    <n v="5.2"/>
  </r>
  <r>
    <s v="INV00062"/>
    <n v="46112"/>
    <s v="18:33"/>
    <x v="3"/>
    <s v="Secunderabad"/>
    <s v="Normal"/>
    <s v="Female"/>
    <x v="4"/>
    <n v="283.37"/>
    <n v="7"/>
    <n v="99.18"/>
    <n v="2082.77"/>
    <n v="1513.08"/>
    <n v="569.69000000000005"/>
    <n v="27.35"/>
    <s v="Cash"/>
    <n v="8.6999999999999993"/>
  </r>
  <r>
    <s v="INV00396"/>
    <n v="46112"/>
    <s v="13:36"/>
    <x v="4"/>
    <s v="Vijayawada"/>
    <s v="Normal"/>
    <s v="Male"/>
    <x v="4"/>
    <n v="196.99"/>
    <n v="7"/>
    <n v="68.95"/>
    <n v="1447.88"/>
    <n v="1170.42"/>
    <n v="277.45999999999998"/>
    <n v="19.16"/>
    <s v="Cash"/>
    <n v="7.5"/>
  </r>
  <r>
    <s v="INV00374"/>
    <n v="46113"/>
    <s v="12:19"/>
    <x v="1"/>
    <s v="Warangal"/>
    <s v="Member"/>
    <s v="Male"/>
    <x v="3"/>
    <n v="440.95"/>
    <n v="10"/>
    <n v="220.48"/>
    <n v="4629.9799999999996"/>
    <n v="3617.89"/>
    <n v="1012.09"/>
    <n v="21.86"/>
    <s v="Credit Card"/>
    <n v="8.1999999999999993"/>
  </r>
  <r>
    <s v="INV00388"/>
    <n v="46113"/>
    <s v="11:05"/>
    <x v="0"/>
    <s v="Hyderabad"/>
    <s v="Member"/>
    <s v="Male"/>
    <x v="4"/>
    <n v="264.35000000000002"/>
    <n v="9"/>
    <n v="118.96"/>
    <n v="2498.11"/>
    <n v="1736.5"/>
    <n v="761.61"/>
    <n v="30.49"/>
    <s v="Debit Card"/>
    <n v="7"/>
  </r>
  <r>
    <s v="INV00390"/>
    <n v="46113"/>
    <s v="13:42"/>
    <x v="4"/>
    <s v="Vijayawada"/>
    <s v="Member"/>
    <s v="Female"/>
    <x v="4"/>
    <n v="254.53"/>
    <n v="2"/>
    <n v="25.45"/>
    <n v="534.51"/>
    <n v="357.14"/>
    <n v="177.37"/>
    <n v="33.18"/>
    <s v="Cash"/>
    <n v="9.9"/>
  </r>
  <r>
    <s v="INV00166"/>
    <n v="46114"/>
    <s v="10:22"/>
    <x v="4"/>
    <s v="Vijayawada"/>
    <s v="Normal"/>
    <s v="Male"/>
    <x v="4"/>
    <n v="298.45"/>
    <n v="4"/>
    <n v="59.69"/>
    <n v="1253.49"/>
    <n v="992.36"/>
    <n v="261.13"/>
    <n v="20.83"/>
    <s v="Debit Card"/>
    <n v="7.8"/>
  </r>
  <r>
    <s v="INV00245"/>
    <n v="46114"/>
    <s v="14:18"/>
    <x v="0"/>
    <s v="Hyderabad"/>
    <s v="Normal"/>
    <s v="Female"/>
    <x v="4"/>
    <n v="222.39"/>
    <n v="5"/>
    <n v="55.6"/>
    <n v="1167.55"/>
    <n v="861.48"/>
    <n v="306.07"/>
    <n v="26.21"/>
    <s v="Cash"/>
    <n v="5.4"/>
  </r>
  <r>
    <s v="INV00313"/>
    <n v="46114"/>
    <s v="10:41"/>
    <x v="0"/>
    <s v="Hyderabad"/>
    <s v="Member"/>
    <s v="Male"/>
    <x v="1"/>
    <n v="100.08"/>
    <n v="7"/>
    <n v="35.03"/>
    <n v="735.59"/>
    <n v="599.29999999999995"/>
    <n v="136.29"/>
    <n v="18.53"/>
    <s v="Cash"/>
    <n v="7.8"/>
  </r>
  <r>
    <s v="INV00406"/>
    <n v="46114"/>
    <s v="15:13"/>
    <x v="4"/>
    <s v="Vijayawada"/>
    <s v="Member"/>
    <s v="Male"/>
    <x v="0"/>
    <n v="108.15"/>
    <n v="2"/>
    <n v="10.82"/>
    <n v="227.12"/>
    <n v="161.97999999999999"/>
    <n v="65.14"/>
    <n v="28.68"/>
    <s v="UPI"/>
    <n v="8.6"/>
  </r>
  <r>
    <s v="INV00121"/>
    <n v="46115"/>
    <s v="10:17"/>
    <x v="4"/>
    <s v="Vijayawada"/>
    <s v="Normal"/>
    <s v="Female"/>
    <x v="4"/>
    <n v="246.08"/>
    <n v="2"/>
    <n v="24.61"/>
    <n v="516.77"/>
    <n v="412.99"/>
    <n v="103.78"/>
    <n v="20.079999999999998"/>
    <s v="Cash"/>
    <n v="7.8"/>
  </r>
  <r>
    <s v="INV00175"/>
    <n v="46115"/>
    <s v="09:14"/>
    <x v="1"/>
    <s v="Warangal"/>
    <s v="Normal"/>
    <s v="Male"/>
    <x v="6"/>
    <n v="163.06"/>
    <n v="2"/>
    <n v="16.309999999999999"/>
    <n v="342.43"/>
    <n v="277.08999999999997"/>
    <n v="65.34"/>
    <n v="19.079999999999998"/>
    <s v="Cash"/>
    <n v="7.7"/>
  </r>
  <r>
    <s v="INV00082"/>
    <n v="46116"/>
    <s v="21:07"/>
    <x v="2"/>
    <s v="Hyderabad"/>
    <s v="Member"/>
    <s v="Male"/>
    <x v="0"/>
    <n v="76.739999999999995"/>
    <n v="8"/>
    <n v="30.7"/>
    <n v="644.62"/>
    <n v="489.57"/>
    <n v="155.05000000000001"/>
    <n v="24.05"/>
    <s v="Debit Card"/>
    <n v="7.5"/>
  </r>
  <r>
    <s v="INV00268"/>
    <n v="46116"/>
    <s v="18:31"/>
    <x v="1"/>
    <s v="Warangal"/>
    <s v="Member"/>
    <s v="Male"/>
    <x v="0"/>
    <n v="113.46"/>
    <n v="6"/>
    <n v="34.04"/>
    <n v="714.8"/>
    <n v="533.61"/>
    <n v="181.19"/>
    <n v="25.35"/>
    <s v="Wallet"/>
    <n v="9.1999999999999993"/>
  </r>
  <r>
    <s v="INV00073"/>
    <n v="46117"/>
    <s v="14:13"/>
    <x v="0"/>
    <s v="Hyderabad"/>
    <s v="Member"/>
    <s v="Male"/>
    <x v="3"/>
    <n v="363.62"/>
    <n v="6"/>
    <n v="109.09"/>
    <n v="2290.81"/>
    <n v="1810.71"/>
    <n v="480.1"/>
    <n v="20.96"/>
    <s v="Debit Card"/>
    <n v="6.8"/>
  </r>
  <r>
    <s v="INV00112"/>
    <n v="46117"/>
    <s v="21:40"/>
    <x v="0"/>
    <s v="Hyderabad"/>
    <s v="Member"/>
    <s v="Male"/>
    <x v="2"/>
    <n v="69.13"/>
    <n v="10"/>
    <n v="34.56"/>
    <n v="725.86"/>
    <n v="570.59"/>
    <n v="155.27000000000001"/>
    <n v="21.39"/>
    <s v="Debit Card"/>
    <n v="9.6999999999999993"/>
  </r>
  <r>
    <s v="INV00134"/>
    <n v="46117"/>
    <s v="10:57"/>
    <x v="3"/>
    <s v="Secunderabad"/>
    <s v="Member"/>
    <s v="Male"/>
    <x v="7"/>
    <n v="94.5"/>
    <n v="1"/>
    <n v="4.7300000000000004"/>
    <n v="99.23"/>
    <n v="78.95"/>
    <n v="20.28"/>
    <n v="20.440000000000001"/>
    <s v="Cash"/>
    <n v="8.1"/>
  </r>
  <r>
    <s v="INV00362"/>
    <n v="46118"/>
    <s v="09:11"/>
    <x v="1"/>
    <s v="Warangal"/>
    <s v="Member"/>
    <s v="Female"/>
    <x v="6"/>
    <n v="120.82"/>
    <n v="4"/>
    <n v="24.16"/>
    <n v="507.44"/>
    <n v="349.19"/>
    <n v="158.25"/>
    <n v="31.19"/>
    <s v="UPI"/>
    <n v="8"/>
  </r>
  <r>
    <s v="INV00474"/>
    <n v="46118"/>
    <s v="09:20"/>
    <x v="4"/>
    <s v="Vijayawada"/>
    <s v="Member"/>
    <s v="Female"/>
    <x v="4"/>
    <n v="213.44"/>
    <n v="4"/>
    <n v="42.69"/>
    <n v="896.45"/>
    <n v="741.92"/>
    <n v="154.53"/>
    <n v="17.239999999999998"/>
    <s v="UPI"/>
    <n v="5"/>
  </r>
  <r>
    <s v="INV00120"/>
    <n v="46120"/>
    <s v="17:28"/>
    <x v="2"/>
    <s v="Hyderabad"/>
    <s v="Member"/>
    <s v="Female"/>
    <x v="2"/>
    <n v="86.33"/>
    <n v="1"/>
    <n v="4.32"/>
    <n v="90.65"/>
    <n v="70.98"/>
    <n v="19.670000000000002"/>
    <n v="21.7"/>
    <s v="Debit Card"/>
    <n v="6.8"/>
  </r>
  <r>
    <s v="INV00326"/>
    <n v="46120"/>
    <s v="18:51"/>
    <x v="1"/>
    <s v="Warangal"/>
    <s v="Member"/>
    <s v="Female"/>
    <x v="0"/>
    <n v="127.86"/>
    <n v="7"/>
    <n v="44.75"/>
    <n v="939.77"/>
    <n v="633.34"/>
    <n v="306.43"/>
    <n v="32.61"/>
    <s v="Cash"/>
    <n v="9.5"/>
  </r>
  <r>
    <s v="INV00029"/>
    <n v="46121"/>
    <s v="13:54"/>
    <x v="2"/>
    <s v="Hyderabad"/>
    <s v="Member"/>
    <s v="Male"/>
    <x v="1"/>
    <n v="167.81"/>
    <n v="2"/>
    <n v="16.78"/>
    <n v="352.4"/>
    <n v="278.01"/>
    <n v="74.39"/>
    <n v="21.11"/>
    <s v="UPI"/>
    <n v="10"/>
  </r>
  <r>
    <s v="INV00325"/>
    <n v="46121"/>
    <s v="15:18"/>
    <x v="4"/>
    <s v="Vijayawada"/>
    <s v="Normal"/>
    <s v="Male"/>
    <x v="7"/>
    <n v="78.930000000000007"/>
    <n v="2"/>
    <n v="7.89"/>
    <n v="165.75"/>
    <n v="116.3"/>
    <n v="49.45"/>
    <n v="29.83"/>
    <s v="UPI"/>
    <n v="7.1"/>
  </r>
  <r>
    <s v="INV00425"/>
    <n v="46121"/>
    <s v="10:05"/>
    <x v="0"/>
    <s v="Hyderabad"/>
    <s v="Normal"/>
    <s v="Male"/>
    <x v="6"/>
    <n v="252"/>
    <n v="5"/>
    <n v="63"/>
    <n v="1323"/>
    <n v="925.26"/>
    <n v="397.74"/>
    <n v="30.06"/>
    <s v="UPI"/>
    <n v="9.6999999999999993"/>
  </r>
  <r>
    <s v="INV00071"/>
    <n v="46123"/>
    <s v="10:27"/>
    <x v="1"/>
    <s v="Warangal"/>
    <s v="Member"/>
    <s v="Male"/>
    <x v="7"/>
    <n v="130.72999999999999"/>
    <n v="8"/>
    <n v="52.29"/>
    <n v="1098.1300000000001"/>
    <n v="818.53"/>
    <n v="279.60000000000002"/>
    <n v="25.46"/>
    <s v="UPI"/>
    <n v="6.3"/>
  </r>
  <r>
    <s v="INV00074"/>
    <n v="46123"/>
    <s v="11:25"/>
    <x v="4"/>
    <s v="Vijayawada"/>
    <s v="Member"/>
    <s v="Male"/>
    <x v="7"/>
    <n v="85.26"/>
    <n v="6"/>
    <n v="25.58"/>
    <n v="537.14"/>
    <n v="393.53"/>
    <n v="143.61000000000001"/>
    <n v="26.74"/>
    <s v="Cash"/>
    <n v="5.0999999999999996"/>
  </r>
  <r>
    <s v="INV00404"/>
    <n v="46123"/>
    <s v="18:23"/>
    <x v="4"/>
    <s v="Vijayawada"/>
    <s v="Normal"/>
    <s v="Female"/>
    <x v="7"/>
    <n v="65.73"/>
    <n v="4"/>
    <n v="13.15"/>
    <n v="276.07"/>
    <n v="187.66"/>
    <n v="88.41"/>
    <n v="32.020000000000003"/>
    <s v="Cash"/>
    <n v="7.6"/>
  </r>
  <r>
    <s v="INV00200"/>
    <n v="46124"/>
    <s v="14:56"/>
    <x v="1"/>
    <s v="Warangal"/>
    <s v="Member"/>
    <s v="Female"/>
    <x v="6"/>
    <n v="170.93"/>
    <n v="7"/>
    <n v="59.83"/>
    <n v="1256.3399999999999"/>
    <n v="1004.32"/>
    <n v="252.02"/>
    <n v="20.059999999999999"/>
    <s v="Credit Card"/>
    <n v="6.8"/>
  </r>
  <r>
    <s v="INV00372"/>
    <n v="46125"/>
    <s v="09:47"/>
    <x v="0"/>
    <s v="Hyderabad"/>
    <s v="Member"/>
    <s v="Male"/>
    <x v="4"/>
    <n v="286.33"/>
    <n v="2"/>
    <n v="28.63"/>
    <n v="601.29"/>
    <n v="445.74"/>
    <n v="155.55000000000001"/>
    <n v="25.87"/>
    <s v="Credit Card"/>
    <n v="9.8000000000000007"/>
  </r>
  <r>
    <s v="INV00463"/>
    <n v="46126"/>
    <s v="18:26"/>
    <x v="1"/>
    <s v="Warangal"/>
    <s v="Member"/>
    <s v="Female"/>
    <x v="4"/>
    <n v="194.98"/>
    <n v="1"/>
    <n v="9.75"/>
    <n v="204.73"/>
    <n v="142.29"/>
    <n v="62.44"/>
    <n v="30.5"/>
    <s v="UPI"/>
    <n v="6.7"/>
  </r>
  <r>
    <s v="INV00475"/>
    <n v="46127"/>
    <s v="10:17"/>
    <x v="2"/>
    <s v="Hyderabad"/>
    <s v="Member"/>
    <s v="Male"/>
    <x v="1"/>
    <n v="140.41999999999999"/>
    <n v="1"/>
    <n v="7.02"/>
    <n v="147.44"/>
    <n v="120.89"/>
    <n v="26.55"/>
    <n v="18.010000000000002"/>
    <s v="UPI"/>
    <n v="6.8"/>
  </r>
  <r>
    <s v="INV00360"/>
    <n v="46129"/>
    <s v="19:01"/>
    <x v="2"/>
    <s v="Hyderabad"/>
    <s v="Normal"/>
    <s v="Male"/>
    <x v="1"/>
    <n v="101.52"/>
    <n v="6"/>
    <n v="30.46"/>
    <n v="639.58000000000004"/>
    <n v="514.11"/>
    <n v="125.47"/>
    <n v="19.62"/>
    <s v="Wallet"/>
    <n v="7.3"/>
  </r>
  <r>
    <s v="INV00049"/>
    <n v="46130"/>
    <s v="15:13"/>
    <x v="2"/>
    <s v="Hyderabad"/>
    <s v="Normal"/>
    <s v="Male"/>
    <x v="7"/>
    <n v="69.959999999999994"/>
    <n v="7"/>
    <n v="24.49"/>
    <n v="514.21"/>
    <n v="419.73"/>
    <n v="94.48"/>
    <n v="18.37"/>
    <s v="UPI"/>
    <n v="8.6999999999999993"/>
  </r>
  <r>
    <s v="INV00110"/>
    <n v="46130"/>
    <s v="15:07"/>
    <x v="0"/>
    <s v="Hyderabad"/>
    <s v="Member"/>
    <s v="Female"/>
    <x v="5"/>
    <n v="61.1"/>
    <n v="1"/>
    <n v="3.06"/>
    <n v="64.16"/>
    <n v="43.01"/>
    <n v="21.15"/>
    <n v="32.96"/>
    <s v="Debit Card"/>
    <n v="8.9"/>
  </r>
  <r>
    <s v="INV00392"/>
    <n v="46131"/>
    <s v="15:58"/>
    <x v="3"/>
    <s v="Secunderabad"/>
    <s v="Member"/>
    <s v="Male"/>
    <x v="2"/>
    <n v="51.4"/>
    <n v="10"/>
    <n v="25.7"/>
    <n v="539.70000000000005"/>
    <n v="378.98"/>
    <n v="160.72"/>
    <n v="29.78"/>
    <s v="Credit Card"/>
    <n v="6.6"/>
  </r>
  <r>
    <s v="INV00494"/>
    <n v="46131"/>
    <s v="15:58"/>
    <x v="0"/>
    <s v="Hyderabad"/>
    <s v="Member"/>
    <s v="Female"/>
    <x v="7"/>
    <n v="72.45"/>
    <n v="6"/>
    <n v="21.74"/>
    <n v="456.44"/>
    <n v="319.89999999999998"/>
    <n v="136.54"/>
    <n v="29.91"/>
    <s v="Wallet"/>
    <n v="6.6"/>
  </r>
  <r>
    <s v="INV00212"/>
    <n v="46132"/>
    <s v="16:21"/>
    <x v="1"/>
    <s v="Warangal"/>
    <s v="Member"/>
    <s v="Female"/>
    <x v="7"/>
    <n v="128.65"/>
    <n v="9"/>
    <n v="57.89"/>
    <n v="1215.74"/>
    <n v="991.53"/>
    <n v="224.21"/>
    <n v="18.440000000000001"/>
    <s v="Credit Card"/>
    <n v="7.1"/>
  </r>
  <r>
    <s v="INV00162"/>
    <n v="46133"/>
    <s v="09:27"/>
    <x v="2"/>
    <s v="Hyderabad"/>
    <s v="Member"/>
    <s v="Male"/>
    <x v="0"/>
    <n v="83.87"/>
    <n v="9"/>
    <n v="37.74"/>
    <n v="792.57"/>
    <n v="656.44"/>
    <n v="136.13"/>
    <n v="17.18"/>
    <s v="Cash"/>
    <n v="6.8"/>
  </r>
  <r>
    <s v="INV00172"/>
    <n v="46133"/>
    <s v="09:36"/>
    <x v="0"/>
    <s v="Hyderabad"/>
    <s v="Normal"/>
    <s v="Male"/>
    <x v="0"/>
    <n v="73.55"/>
    <n v="8"/>
    <n v="29.42"/>
    <n v="617.82000000000005"/>
    <n v="448.94"/>
    <n v="168.88"/>
    <n v="27.33"/>
    <s v="UPI"/>
    <n v="7.3"/>
  </r>
  <r>
    <s v="INV00250"/>
    <n v="46133"/>
    <s v="15:14"/>
    <x v="4"/>
    <s v="Vijayawada"/>
    <s v="Normal"/>
    <s v="Male"/>
    <x v="7"/>
    <n v="92.73"/>
    <n v="3"/>
    <n v="13.91"/>
    <n v="292.10000000000002"/>
    <n v="233.98"/>
    <n v="58.12"/>
    <n v="19.899999999999999"/>
    <s v="UPI"/>
    <n v="9.1999999999999993"/>
  </r>
  <r>
    <s v="INV00276"/>
    <n v="46133"/>
    <s v="12:20"/>
    <x v="2"/>
    <s v="Hyderabad"/>
    <s v="Member"/>
    <s v="Female"/>
    <x v="1"/>
    <n v="126.59"/>
    <n v="7"/>
    <n v="44.31"/>
    <n v="930.44"/>
    <n v="622.48"/>
    <n v="307.95999999999998"/>
    <n v="33.1"/>
    <s v="UPI"/>
    <n v="6.9"/>
  </r>
  <r>
    <s v="INV00287"/>
    <n v="46133"/>
    <s v="12:49"/>
    <x v="2"/>
    <s v="Hyderabad"/>
    <s v="Member"/>
    <s v="Female"/>
    <x v="7"/>
    <n v="118.03"/>
    <n v="3"/>
    <n v="17.7"/>
    <n v="371.79"/>
    <n v="307.67"/>
    <n v="64.12"/>
    <n v="17.25"/>
    <s v="UPI"/>
    <n v="10"/>
  </r>
  <r>
    <s v="INV00223"/>
    <n v="46134"/>
    <s v="13:15"/>
    <x v="0"/>
    <s v="Hyderabad"/>
    <s v="Member"/>
    <s v="Female"/>
    <x v="1"/>
    <n v="199.75"/>
    <n v="7"/>
    <n v="69.91"/>
    <n v="1468.16"/>
    <n v="1112.99"/>
    <n v="355.17"/>
    <n v="24.19"/>
    <s v="UPI"/>
    <n v="8.9"/>
  </r>
  <r>
    <s v="INV00398"/>
    <n v="46134"/>
    <s v="11:28"/>
    <x v="2"/>
    <s v="Hyderabad"/>
    <s v="Member"/>
    <s v="Male"/>
    <x v="0"/>
    <n v="115.54"/>
    <n v="6"/>
    <n v="34.659999999999997"/>
    <n v="727.9"/>
    <n v="529.4"/>
    <n v="198.5"/>
    <n v="27.27"/>
    <s v="UPI"/>
    <n v="8"/>
  </r>
  <r>
    <s v="INV00119"/>
    <n v="46135"/>
    <s v="20:13"/>
    <x v="4"/>
    <s v="Vijayawada"/>
    <s v="Member"/>
    <s v="Female"/>
    <x v="2"/>
    <n v="64.72"/>
    <n v="4"/>
    <n v="12.94"/>
    <n v="271.82"/>
    <n v="216.85"/>
    <n v="54.97"/>
    <n v="20.22"/>
    <s v="UPI"/>
    <n v="7.3"/>
  </r>
  <r>
    <s v="INV00205"/>
    <n v="46135"/>
    <s v="21:50"/>
    <x v="2"/>
    <s v="Hyderabad"/>
    <s v="Member"/>
    <s v="Male"/>
    <x v="1"/>
    <n v="161.58000000000001"/>
    <n v="3"/>
    <n v="24.24"/>
    <n v="508.98"/>
    <n v="375.53"/>
    <n v="133.44999999999999"/>
    <n v="26.22"/>
    <s v="Wallet"/>
    <n v="7.3"/>
  </r>
  <r>
    <s v="INV00215"/>
    <n v="46135"/>
    <s v="17:43"/>
    <x v="1"/>
    <s v="Warangal"/>
    <s v="Normal"/>
    <s v="Male"/>
    <x v="3"/>
    <n v="366.89"/>
    <n v="10"/>
    <n v="183.44"/>
    <n v="3852.34"/>
    <n v="2936.69"/>
    <n v="915.65"/>
    <n v="23.77"/>
    <s v="Debit Card"/>
    <n v="8"/>
  </r>
  <r>
    <s v="INV00281"/>
    <n v="46136"/>
    <s v="20:55"/>
    <x v="4"/>
    <s v="Vijayawada"/>
    <s v="Normal"/>
    <s v="Female"/>
    <x v="5"/>
    <n v="95.32"/>
    <n v="4"/>
    <n v="19.059999999999999"/>
    <n v="400.34"/>
    <n v="329.8"/>
    <n v="70.540000000000006"/>
    <n v="17.62"/>
    <s v="UPI"/>
    <n v="6.4"/>
  </r>
  <r>
    <s v="INV00286"/>
    <n v="46136"/>
    <s v="18:01"/>
    <x v="0"/>
    <s v="Hyderabad"/>
    <s v="Member"/>
    <s v="Female"/>
    <x v="0"/>
    <n v="144.9"/>
    <n v="4"/>
    <n v="28.98"/>
    <n v="608.58000000000004"/>
    <n v="406.28"/>
    <n v="202.3"/>
    <n v="33.24"/>
    <s v="UPI"/>
    <n v="8.6999999999999993"/>
  </r>
  <r>
    <s v="INV00356"/>
    <n v="46137"/>
    <s v="18:56"/>
    <x v="1"/>
    <s v="Warangal"/>
    <s v="Normal"/>
    <s v="Male"/>
    <x v="4"/>
    <n v="222.37"/>
    <n v="7"/>
    <n v="77.83"/>
    <n v="1634.42"/>
    <n v="1230.1500000000001"/>
    <n v="404.27"/>
    <n v="24.73"/>
    <s v="UPI"/>
    <n v="9.1999999999999993"/>
  </r>
  <r>
    <s v="INV00379"/>
    <n v="46137"/>
    <s v="11:33"/>
    <x v="4"/>
    <s v="Vijayawada"/>
    <s v="Member"/>
    <s v="Female"/>
    <x v="1"/>
    <n v="151.53"/>
    <n v="10"/>
    <n v="75.760000000000005"/>
    <n v="1591.06"/>
    <n v="1174.24"/>
    <n v="416.82"/>
    <n v="26.2"/>
    <s v="Wallet"/>
    <n v="7.5"/>
  </r>
  <r>
    <s v="INV00431"/>
    <n v="46138"/>
    <s v="20:52"/>
    <x v="0"/>
    <s v="Hyderabad"/>
    <s v="Member"/>
    <s v="Male"/>
    <x v="1"/>
    <n v="125.29"/>
    <n v="4"/>
    <n v="25.06"/>
    <n v="526.22"/>
    <n v="354.87"/>
    <n v="171.35"/>
    <n v="32.56"/>
    <s v="UPI"/>
    <n v="5.6"/>
  </r>
  <r>
    <s v="INV00092"/>
    <n v="46139"/>
    <s v="17:58"/>
    <x v="1"/>
    <s v="Warangal"/>
    <s v="Normal"/>
    <s v="Female"/>
    <x v="5"/>
    <n v="56.54"/>
    <n v="10"/>
    <n v="28.27"/>
    <n v="593.66999999999996"/>
    <n v="427.43"/>
    <n v="166.24"/>
    <n v="28"/>
    <s v="Credit Card"/>
    <n v="7.1"/>
  </r>
  <r>
    <s v="INV00097"/>
    <n v="46139"/>
    <s v="19:16"/>
    <x v="2"/>
    <s v="Hyderabad"/>
    <s v="Member"/>
    <s v="Female"/>
    <x v="5"/>
    <n v="95.43"/>
    <n v="7"/>
    <n v="33.4"/>
    <n v="701.41"/>
    <n v="557.72"/>
    <n v="143.69"/>
    <n v="20.49"/>
    <s v="UPI"/>
    <n v="7.5"/>
  </r>
  <r>
    <s v="INV00405"/>
    <n v="46139"/>
    <s v="21:34"/>
    <x v="3"/>
    <s v="Secunderabad"/>
    <s v="Normal"/>
    <s v="Male"/>
    <x v="6"/>
    <n v="233.85"/>
    <n v="3"/>
    <n v="35.08"/>
    <n v="736.63"/>
    <n v="615.69000000000005"/>
    <n v="120.94"/>
    <n v="16.420000000000002"/>
    <s v="UPI"/>
    <n v="8"/>
  </r>
  <r>
    <s v="INV00424"/>
    <n v="46139"/>
    <s v="09:09"/>
    <x v="2"/>
    <s v="Hyderabad"/>
    <s v="Member"/>
    <s v="Male"/>
    <x v="2"/>
    <n v="56.66"/>
    <n v="10"/>
    <n v="28.33"/>
    <n v="594.92999999999995"/>
    <n v="433.72"/>
    <n v="161.21"/>
    <n v="27.1"/>
    <s v="Cash"/>
    <n v="7.6"/>
  </r>
  <r>
    <s v="INV00081"/>
    <n v="46140"/>
    <s v="21:00"/>
    <x v="4"/>
    <s v="Vijayawada"/>
    <s v="Normal"/>
    <s v="Male"/>
    <x v="6"/>
    <n v="158.38"/>
    <n v="5"/>
    <n v="39.6"/>
    <n v="831.5"/>
    <n v="596.63"/>
    <n v="234.87"/>
    <n v="28.25"/>
    <s v="Wallet"/>
    <n v="9"/>
  </r>
  <r>
    <s v="INV00274"/>
    <n v="46140"/>
    <s v="18:06"/>
    <x v="4"/>
    <s v="Vijayawada"/>
    <s v="Member"/>
    <s v="Male"/>
    <x v="3"/>
    <n v="299.83"/>
    <n v="1"/>
    <n v="14.99"/>
    <n v="314.82"/>
    <n v="255.71"/>
    <n v="59.11"/>
    <n v="18.78"/>
    <s v="UPI"/>
    <n v="6.6"/>
  </r>
  <r>
    <s v="INV00296"/>
    <n v="46140"/>
    <s v="21:23"/>
    <x v="2"/>
    <s v="Hyderabad"/>
    <s v="Member"/>
    <s v="Female"/>
    <x v="0"/>
    <n v="114.41"/>
    <n v="6"/>
    <n v="34.32"/>
    <n v="720.78"/>
    <n v="552.04999999999995"/>
    <n v="168.73"/>
    <n v="23.41"/>
    <s v="Debit Card"/>
    <n v="9.1999999999999993"/>
  </r>
  <r>
    <s v="INV00141"/>
    <n v="46141"/>
    <s v="14:16"/>
    <x v="4"/>
    <s v="Vijayawada"/>
    <s v="Normal"/>
    <s v="Female"/>
    <x v="1"/>
    <n v="137.69999999999999"/>
    <n v="8"/>
    <n v="55.08"/>
    <n v="1156.68"/>
    <n v="872.36"/>
    <n v="284.32"/>
    <n v="24.58"/>
    <s v="UPI"/>
    <n v="7.6"/>
  </r>
  <r>
    <s v="INV00304"/>
    <n v="46141"/>
    <s v="12:16"/>
    <x v="2"/>
    <s v="Hyderabad"/>
    <s v="Member"/>
    <s v="Male"/>
    <x v="7"/>
    <n v="133.77000000000001"/>
    <n v="5"/>
    <n v="33.44"/>
    <n v="702.29"/>
    <n v="521.54"/>
    <n v="180.75"/>
    <n v="25.74"/>
    <s v="Wallet"/>
    <n v="8.5"/>
  </r>
  <r>
    <s v="INV00024"/>
    <n v="46143"/>
    <s v="15:38"/>
    <x v="3"/>
    <s v="Secunderabad"/>
    <s v="Normal"/>
    <s v="Female"/>
    <x v="2"/>
    <n v="82.02"/>
    <n v="5"/>
    <n v="20.5"/>
    <n v="430.6"/>
    <n v="317.16000000000003"/>
    <n v="113.44"/>
    <n v="26.34"/>
    <s v="Wallet"/>
    <n v="5"/>
  </r>
  <r>
    <s v="INV00227"/>
    <n v="46143"/>
    <s v="20:00"/>
    <x v="4"/>
    <s v="Vijayawada"/>
    <s v="Member"/>
    <s v="Male"/>
    <x v="1"/>
    <n v="109.41"/>
    <n v="6"/>
    <n v="32.82"/>
    <n v="689.28"/>
    <n v="522"/>
    <n v="167.28"/>
    <n v="24.27"/>
    <s v="UPI"/>
    <n v="8.1999999999999993"/>
  </r>
  <r>
    <s v="INV00113"/>
    <n v="46144"/>
    <s v="10:23"/>
    <x v="4"/>
    <s v="Vijayawada"/>
    <s v="Member"/>
    <s v="Female"/>
    <x v="7"/>
    <n v="84.17"/>
    <n v="1"/>
    <n v="4.21"/>
    <n v="88.38"/>
    <n v="66.430000000000007"/>
    <n v="21.95"/>
    <n v="24.84"/>
    <s v="UPI"/>
    <n v="8.4"/>
  </r>
  <r>
    <s v="INV00157"/>
    <n v="46144"/>
    <s v="09:00"/>
    <x v="1"/>
    <s v="Warangal"/>
    <s v="Member"/>
    <s v="Female"/>
    <x v="4"/>
    <n v="197.75"/>
    <n v="10"/>
    <n v="98.88"/>
    <n v="2076.38"/>
    <n v="1733.69"/>
    <n v="342.69"/>
    <n v="16.5"/>
    <s v="Wallet"/>
    <n v="7.9"/>
  </r>
  <r>
    <s v="INV00180"/>
    <n v="46144"/>
    <s v="11:06"/>
    <x v="0"/>
    <s v="Hyderabad"/>
    <s v="Member"/>
    <s v="Male"/>
    <x v="2"/>
    <n v="95.25"/>
    <n v="3"/>
    <n v="14.29"/>
    <n v="300.04000000000002"/>
    <n v="205.36"/>
    <n v="94.68"/>
    <n v="31.56"/>
    <s v="UPI"/>
    <n v="6.2"/>
  </r>
  <r>
    <s v="INV00472"/>
    <n v="46144"/>
    <s v="21:30"/>
    <x v="4"/>
    <s v="Vijayawada"/>
    <s v="Normal"/>
    <s v="Male"/>
    <x v="0"/>
    <n v="140.41999999999999"/>
    <n v="5"/>
    <n v="35.1"/>
    <n v="737.2"/>
    <n v="590.76"/>
    <n v="146.44"/>
    <n v="19.86"/>
    <s v="Credit Card"/>
    <n v="9"/>
  </r>
  <r>
    <s v="INV00019"/>
    <n v="46145"/>
    <s v="18:59"/>
    <x v="2"/>
    <s v="Hyderabad"/>
    <s v="Normal"/>
    <s v="Female"/>
    <x v="0"/>
    <n v="92.39"/>
    <n v="1"/>
    <n v="4.62"/>
    <n v="97.01"/>
    <n v="72.989999999999995"/>
    <n v="24.02"/>
    <n v="24.76"/>
    <s v="Credit Card"/>
    <n v="5.8"/>
  </r>
  <r>
    <s v="INV00116"/>
    <n v="46145"/>
    <s v="12:48"/>
    <x v="4"/>
    <s v="Vijayawada"/>
    <s v="Normal"/>
    <s v="Male"/>
    <x v="0"/>
    <n v="75.349999999999994"/>
    <n v="4"/>
    <n v="15.07"/>
    <n v="316.47000000000003"/>
    <n v="264.17"/>
    <n v="52.3"/>
    <n v="16.53"/>
    <s v="Wallet"/>
    <n v="7.2"/>
  </r>
  <r>
    <s v="INV00161"/>
    <n v="46145"/>
    <s v="19:31"/>
    <x v="3"/>
    <s v="Secunderabad"/>
    <s v="Normal"/>
    <s v="Female"/>
    <x v="3"/>
    <n v="384.2"/>
    <n v="8"/>
    <n v="153.68"/>
    <n v="3227.28"/>
    <n v="2279.62"/>
    <n v="947.66"/>
    <n v="29.36"/>
    <s v="UPI"/>
    <n v="6.5"/>
  </r>
  <r>
    <s v="INV00319"/>
    <n v="46145"/>
    <s v="19:19"/>
    <x v="0"/>
    <s v="Hyderabad"/>
    <s v="Member"/>
    <s v="Male"/>
    <x v="1"/>
    <n v="187.45"/>
    <n v="5"/>
    <n v="46.86"/>
    <n v="984.11"/>
    <n v="820.44"/>
    <n v="163.66999999999999"/>
    <n v="16.63"/>
    <s v="UPI"/>
    <n v="6.3"/>
  </r>
  <r>
    <s v="INV00432"/>
    <n v="46147"/>
    <s v="12:09"/>
    <x v="1"/>
    <s v="Warangal"/>
    <s v="Member"/>
    <s v="Female"/>
    <x v="2"/>
    <n v="92.29"/>
    <n v="2"/>
    <n v="9.23"/>
    <n v="193.81"/>
    <n v="133.4"/>
    <n v="60.41"/>
    <n v="31.17"/>
    <s v="UPI"/>
    <n v="8.1999999999999993"/>
  </r>
  <r>
    <s v="INV00468"/>
    <n v="46147"/>
    <s v="17:10"/>
    <x v="4"/>
    <s v="Vijayawada"/>
    <s v="Member"/>
    <s v="Female"/>
    <x v="3"/>
    <n v="457.39"/>
    <n v="4"/>
    <n v="91.48"/>
    <n v="1921.04"/>
    <n v="1479.55"/>
    <n v="441.49"/>
    <n v="22.98"/>
    <s v="UPI"/>
    <n v="7.8"/>
  </r>
  <r>
    <s v="INV00486"/>
    <n v="46147"/>
    <s v="19:01"/>
    <x v="4"/>
    <s v="Vijayawada"/>
    <s v="Member"/>
    <s v="Male"/>
    <x v="6"/>
    <n v="236.46"/>
    <n v="10"/>
    <n v="118.23"/>
    <n v="2482.83"/>
    <n v="1975.15"/>
    <n v="507.68"/>
    <n v="20.45"/>
    <s v="Debit Card"/>
    <n v="10"/>
  </r>
  <r>
    <s v="INV00321"/>
    <n v="46148"/>
    <s v="19:43"/>
    <x v="2"/>
    <s v="Hyderabad"/>
    <s v="Member"/>
    <s v="Female"/>
    <x v="2"/>
    <n v="68.19"/>
    <n v="7"/>
    <n v="23.87"/>
    <n v="501.2"/>
    <n v="381.79"/>
    <n v="119.41"/>
    <n v="23.82"/>
    <s v="Cash"/>
    <n v="7"/>
  </r>
  <r>
    <s v="INV00333"/>
    <n v="46148"/>
    <s v="18:18"/>
    <x v="0"/>
    <s v="Hyderabad"/>
    <s v="Member"/>
    <s v="Female"/>
    <x v="1"/>
    <n v="152.61000000000001"/>
    <n v="1"/>
    <n v="7.63"/>
    <n v="160.24"/>
    <n v="111.54"/>
    <n v="48.7"/>
    <n v="30.39"/>
    <s v="Credit Card"/>
    <n v="5.5"/>
  </r>
  <r>
    <s v="INV00442"/>
    <n v="46148"/>
    <s v="16:22"/>
    <x v="4"/>
    <s v="Vijayawada"/>
    <s v="Member"/>
    <s v="Male"/>
    <x v="7"/>
    <n v="106.98"/>
    <n v="1"/>
    <n v="5.35"/>
    <n v="112.33"/>
    <n v="87.56"/>
    <n v="24.77"/>
    <n v="22.05"/>
    <s v="Wallet"/>
    <n v="6.7"/>
  </r>
  <r>
    <s v="INV00058"/>
    <n v="46149"/>
    <s v="12:18"/>
    <x v="0"/>
    <s v="Hyderabad"/>
    <s v="Member"/>
    <s v="Female"/>
    <x v="1"/>
    <n v="165.83"/>
    <n v="1"/>
    <n v="8.2899999999999991"/>
    <n v="174.12"/>
    <n v="125.59"/>
    <n v="48.53"/>
    <n v="27.87"/>
    <s v="UPI"/>
    <n v="10"/>
  </r>
  <r>
    <s v="INV00126"/>
    <n v="46149"/>
    <s v="16:26"/>
    <x v="2"/>
    <s v="Hyderabad"/>
    <s v="Member"/>
    <s v="Female"/>
    <x v="3"/>
    <n v="278.5"/>
    <n v="4"/>
    <n v="55.7"/>
    <n v="1169.7"/>
    <n v="914.8"/>
    <n v="254.9"/>
    <n v="21.79"/>
    <s v="Credit Card"/>
    <n v="8.8000000000000007"/>
  </r>
  <r>
    <s v="INV00327"/>
    <n v="46149"/>
    <s v="18:24"/>
    <x v="2"/>
    <s v="Hyderabad"/>
    <s v="Member"/>
    <s v="Male"/>
    <x v="3"/>
    <n v="458.62"/>
    <n v="3"/>
    <n v="68.790000000000006"/>
    <n v="1444.65"/>
    <n v="1106.67"/>
    <n v="337.98"/>
    <n v="23.4"/>
    <s v="UPI"/>
    <n v="10"/>
  </r>
  <r>
    <s v="INV00456"/>
    <n v="46151"/>
    <s v="13:56"/>
    <x v="2"/>
    <s v="Hyderabad"/>
    <s v="Normal"/>
    <s v="Female"/>
    <x v="3"/>
    <n v="414.63"/>
    <n v="5"/>
    <n v="103.66"/>
    <n v="2176.81"/>
    <n v="1601.51"/>
    <n v="575.29999999999995"/>
    <n v="26.43"/>
    <s v="Wallet"/>
    <n v="7.8"/>
  </r>
  <r>
    <s v="INV00163"/>
    <n v="46153"/>
    <s v="18:40"/>
    <x v="2"/>
    <s v="Hyderabad"/>
    <s v="Member"/>
    <s v="Female"/>
    <x v="7"/>
    <n v="98.65"/>
    <n v="3"/>
    <n v="14.8"/>
    <n v="310.75"/>
    <n v="209.45"/>
    <n v="101.3"/>
    <n v="32.6"/>
    <s v="Wallet"/>
    <n v="7.4"/>
  </r>
  <r>
    <s v="INV00003"/>
    <n v="46154"/>
    <s v="15:04"/>
    <x v="1"/>
    <s v="Warangal"/>
    <s v="Normal"/>
    <s v="Female"/>
    <x v="3"/>
    <n v="379.32"/>
    <n v="4"/>
    <n v="75.86"/>
    <n v="1593.14"/>
    <n v="1280.51"/>
    <n v="312.63"/>
    <n v="19.62"/>
    <s v="UPI"/>
    <n v="8.6999999999999993"/>
  </r>
  <r>
    <s v="INV00043"/>
    <n v="46154"/>
    <s v="14:58"/>
    <x v="0"/>
    <s v="Hyderabad"/>
    <s v="Member"/>
    <s v="Male"/>
    <x v="4"/>
    <n v="171.27"/>
    <n v="9"/>
    <n v="77.069999999999993"/>
    <n v="1618.5"/>
    <n v="1335.53"/>
    <n v="282.97000000000003"/>
    <n v="17.48"/>
    <s v="Credit Card"/>
    <n v="6.4"/>
  </r>
  <r>
    <s v="INV00183"/>
    <n v="46154"/>
    <s v="16:05"/>
    <x v="4"/>
    <s v="Vijayawada"/>
    <s v="Normal"/>
    <s v="Male"/>
    <x v="4"/>
    <n v="301.81"/>
    <n v="1"/>
    <n v="15.09"/>
    <n v="316.89999999999998"/>
    <n v="234.41"/>
    <n v="82.49"/>
    <n v="26.03"/>
    <s v="Debit Card"/>
    <n v="9.6"/>
  </r>
  <r>
    <s v="INV00497"/>
    <n v="46154"/>
    <s v="16:33"/>
    <x v="2"/>
    <s v="Hyderabad"/>
    <s v="Normal"/>
    <s v="Female"/>
    <x v="0"/>
    <n v="122.39"/>
    <n v="8"/>
    <n v="48.96"/>
    <n v="1028.08"/>
    <n v="852.55"/>
    <n v="175.53"/>
    <n v="17.07"/>
    <s v="UPI"/>
    <n v="7.1"/>
  </r>
  <r>
    <s v="INV00064"/>
    <n v="46156"/>
    <s v="14:23"/>
    <x v="3"/>
    <s v="Secunderabad"/>
    <s v="Member"/>
    <s v="Female"/>
    <x v="1"/>
    <n v="175.71"/>
    <n v="10"/>
    <n v="87.86"/>
    <n v="1844.96"/>
    <n v="1481.25"/>
    <n v="363.71"/>
    <n v="19.71"/>
    <s v="UPI"/>
    <n v="6.6"/>
  </r>
  <r>
    <s v="INV00127"/>
    <n v="46156"/>
    <s v="14:01"/>
    <x v="4"/>
    <s v="Vijayawada"/>
    <s v="Member"/>
    <s v="Female"/>
    <x v="6"/>
    <n v="165.58"/>
    <n v="7"/>
    <n v="57.95"/>
    <n v="1217.01"/>
    <n v="896.49"/>
    <n v="320.52"/>
    <n v="26.34"/>
    <s v="Debit Card"/>
    <n v="8.8000000000000007"/>
  </r>
  <r>
    <s v="INV00230"/>
    <n v="46156"/>
    <s v="17:58"/>
    <x v="2"/>
    <s v="Hyderabad"/>
    <s v="Member"/>
    <s v="Female"/>
    <x v="4"/>
    <n v="269.93"/>
    <n v="1"/>
    <n v="13.5"/>
    <n v="283.43"/>
    <n v="202.48"/>
    <n v="80.95"/>
    <n v="28.56"/>
    <s v="Cash"/>
    <n v="9.1999999999999993"/>
  </r>
  <r>
    <s v="INV00354"/>
    <n v="46156"/>
    <s v="18:13"/>
    <x v="0"/>
    <s v="Hyderabad"/>
    <s v="Normal"/>
    <s v="Male"/>
    <x v="0"/>
    <n v="99.45"/>
    <n v="4"/>
    <n v="19.89"/>
    <n v="417.69"/>
    <n v="327.92"/>
    <n v="89.77"/>
    <n v="21.49"/>
    <s v="Debit Card"/>
    <n v="8.1"/>
  </r>
  <r>
    <s v="INV00389"/>
    <n v="46156"/>
    <s v="12:26"/>
    <x v="1"/>
    <s v="Warangal"/>
    <s v="Normal"/>
    <s v="Male"/>
    <x v="1"/>
    <n v="204.54"/>
    <n v="3"/>
    <n v="30.68"/>
    <n v="644.29999999999995"/>
    <n v="442.17"/>
    <n v="202.13"/>
    <n v="31.37"/>
    <s v="UPI"/>
    <n v="9.1999999999999993"/>
  </r>
  <r>
    <s v="INV00414"/>
    <n v="46156"/>
    <s v="11:30"/>
    <x v="2"/>
    <s v="Hyderabad"/>
    <s v="Member"/>
    <s v="Female"/>
    <x v="3"/>
    <n v="381.52"/>
    <n v="1"/>
    <n v="19.079999999999998"/>
    <n v="400.6"/>
    <n v="287.91000000000003"/>
    <n v="112.69"/>
    <n v="28.13"/>
    <s v="Cash"/>
    <n v="6.2"/>
  </r>
  <r>
    <s v="INV00417"/>
    <n v="46156"/>
    <s v="12:41"/>
    <x v="3"/>
    <s v="Secunderabad"/>
    <s v="Member"/>
    <s v="Female"/>
    <x v="3"/>
    <n v="242.97"/>
    <n v="4"/>
    <n v="48.59"/>
    <n v="1020.47"/>
    <n v="710.8"/>
    <n v="309.67"/>
    <n v="30.35"/>
    <s v="Debit Card"/>
    <n v="6.6"/>
  </r>
  <r>
    <s v="INV00470"/>
    <n v="46156"/>
    <s v="17:51"/>
    <x v="4"/>
    <s v="Vijayawada"/>
    <s v="Normal"/>
    <s v="Male"/>
    <x v="6"/>
    <n v="123.74"/>
    <n v="7"/>
    <n v="43.31"/>
    <n v="909.49"/>
    <n v="693.44"/>
    <n v="216.05"/>
    <n v="23.76"/>
    <s v="UPI"/>
    <n v="7.8"/>
  </r>
  <r>
    <s v="INV00102"/>
    <n v="46157"/>
    <s v="21:30"/>
    <x v="2"/>
    <s v="Hyderabad"/>
    <s v="Normal"/>
    <s v="Male"/>
    <x v="4"/>
    <n v="289.93"/>
    <n v="7"/>
    <n v="101.48"/>
    <n v="2130.9899999999998"/>
    <n v="1739.01"/>
    <n v="391.98"/>
    <n v="18.39"/>
    <s v="Cash"/>
    <n v="9.3000000000000007"/>
  </r>
  <r>
    <s v="INV00384"/>
    <n v="46157"/>
    <s v="12:58"/>
    <x v="4"/>
    <s v="Vijayawada"/>
    <s v="Member"/>
    <s v="Male"/>
    <x v="1"/>
    <n v="113.62"/>
    <n v="7"/>
    <n v="39.770000000000003"/>
    <n v="835.11"/>
    <n v="567.45000000000005"/>
    <n v="267.66000000000003"/>
    <n v="32.049999999999997"/>
    <s v="Credit Card"/>
    <n v="7.2"/>
  </r>
  <r>
    <s v="INV00178"/>
    <n v="46158"/>
    <s v="18:33"/>
    <x v="3"/>
    <s v="Secunderabad"/>
    <s v="Member"/>
    <s v="Male"/>
    <x v="3"/>
    <n v="452.72"/>
    <n v="10"/>
    <n v="226.36"/>
    <n v="4753.5600000000004"/>
    <n v="3684.05"/>
    <n v="1069.51"/>
    <n v="22.5"/>
    <s v="Credit Card"/>
    <n v="9.3000000000000007"/>
  </r>
  <r>
    <s v="INV00188"/>
    <n v="46158"/>
    <s v="21:20"/>
    <x v="2"/>
    <s v="Hyderabad"/>
    <s v="Member"/>
    <s v="Female"/>
    <x v="4"/>
    <n v="193.69"/>
    <n v="7"/>
    <n v="67.790000000000006"/>
    <n v="1423.62"/>
    <n v="1134.19"/>
    <n v="289.43"/>
    <n v="20.329999999999998"/>
    <s v="Cash"/>
    <n v="6.7"/>
  </r>
  <r>
    <s v="INV00262"/>
    <n v="46158"/>
    <s v="11:14"/>
    <x v="4"/>
    <s v="Vijayawada"/>
    <s v="Normal"/>
    <s v="Female"/>
    <x v="3"/>
    <n v="434.17"/>
    <n v="7"/>
    <n v="151.96"/>
    <n v="3191.15"/>
    <n v="2579.66"/>
    <n v="611.49"/>
    <n v="19.16"/>
    <s v="UPI"/>
    <n v="8.9"/>
  </r>
  <r>
    <s v="INV00085"/>
    <n v="46159"/>
    <s v="19:02"/>
    <x v="3"/>
    <s v="Secunderabad"/>
    <s v="Normal"/>
    <s v="Female"/>
    <x v="5"/>
    <n v="59.33"/>
    <n v="2"/>
    <n v="5.93"/>
    <n v="124.59"/>
    <n v="98.71"/>
    <n v="25.88"/>
    <n v="20.77"/>
    <s v="Cash"/>
    <n v="7.1"/>
  </r>
  <r>
    <s v="INV00251"/>
    <n v="46159"/>
    <s v="20:26"/>
    <x v="3"/>
    <s v="Secunderabad"/>
    <s v="Normal"/>
    <s v="Male"/>
    <x v="1"/>
    <n v="190.24"/>
    <n v="4"/>
    <n v="38.049999999999997"/>
    <n v="799.01"/>
    <n v="591.42999999999995"/>
    <n v="207.58"/>
    <n v="25.98"/>
    <s v="UPI"/>
    <n v="7"/>
  </r>
  <r>
    <s v="INV00391"/>
    <n v="46159"/>
    <s v="13:47"/>
    <x v="4"/>
    <s v="Vijayawada"/>
    <s v="Member"/>
    <s v="Female"/>
    <x v="2"/>
    <n v="62.19"/>
    <n v="8"/>
    <n v="24.88"/>
    <n v="522.4"/>
    <n v="362.2"/>
    <n v="160.19999999999999"/>
    <n v="30.67"/>
    <s v="Cash"/>
    <n v="8.6999999999999993"/>
  </r>
  <r>
    <s v="INV00495"/>
    <n v="46159"/>
    <s v="14:15"/>
    <x v="2"/>
    <s v="Hyderabad"/>
    <s v="Normal"/>
    <s v="Male"/>
    <x v="3"/>
    <n v="367.34"/>
    <n v="1"/>
    <n v="18.37"/>
    <n v="385.71"/>
    <n v="276.57"/>
    <n v="109.14"/>
    <n v="28.3"/>
    <s v="Cash"/>
    <n v="6.4"/>
  </r>
  <r>
    <s v="INV00171"/>
    <n v="46162"/>
    <s v="14:12"/>
    <x v="1"/>
    <s v="Warangal"/>
    <s v="Normal"/>
    <s v="Male"/>
    <x v="4"/>
    <n v="163.38"/>
    <n v="3"/>
    <n v="24.51"/>
    <n v="514.65"/>
    <n v="347.1"/>
    <n v="167.55"/>
    <n v="32.56"/>
    <s v="Debit Card"/>
    <n v="8.3000000000000007"/>
  </r>
  <r>
    <s v="INV00236"/>
    <n v="46163"/>
    <s v="15:31"/>
    <x v="1"/>
    <s v="Warangal"/>
    <s v="Member"/>
    <s v="Female"/>
    <x v="0"/>
    <n v="157.83000000000001"/>
    <n v="1"/>
    <n v="7.89"/>
    <n v="165.72"/>
    <n v="123.59"/>
    <n v="42.13"/>
    <n v="25.42"/>
    <s v="UPI"/>
    <n v="5.9"/>
  </r>
  <r>
    <s v="INV00135"/>
    <n v="46164"/>
    <s v="09:42"/>
    <x v="4"/>
    <s v="Vijayawada"/>
    <s v="Normal"/>
    <s v="Female"/>
    <x v="1"/>
    <n v="131.24"/>
    <n v="6"/>
    <n v="39.369999999999997"/>
    <n v="826.81"/>
    <n v="617.12"/>
    <n v="209.69"/>
    <n v="25.36"/>
    <s v="UPI"/>
    <n v="9.3000000000000007"/>
  </r>
  <r>
    <s v="INV00420"/>
    <n v="46164"/>
    <s v="14:56"/>
    <x v="1"/>
    <s v="Warangal"/>
    <s v="Normal"/>
    <s v="Male"/>
    <x v="1"/>
    <n v="130.86000000000001"/>
    <n v="1"/>
    <n v="6.54"/>
    <n v="137.4"/>
    <n v="114.79"/>
    <n v="22.61"/>
    <n v="16.46"/>
    <s v="UPI"/>
    <n v="7.1"/>
  </r>
  <r>
    <s v="INV00500"/>
    <n v="46165"/>
    <s v="17:47"/>
    <x v="4"/>
    <s v="Vijayawada"/>
    <s v="Normal"/>
    <s v="Female"/>
    <x v="6"/>
    <n v="214.37"/>
    <n v="10"/>
    <n v="107.18"/>
    <n v="2250.88"/>
    <n v="1857.33"/>
    <n v="393.55"/>
    <n v="17.48"/>
    <s v="UPI"/>
    <n v="6.4"/>
  </r>
  <r>
    <s v="INV00133"/>
    <n v="46166"/>
    <s v="13:15"/>
    <x v="0"/>
    <s v="Hyderabad"/>
    <s v="Member"/>
    <s v="Female"/>
    <x v="7"/>
    <n v="131.41"/>
    <n v="1"/>
    <n v="6.57"/>
    <n v="137.97999999999999"/>
    <n v="108.48"/>
    <n v="29.5"/>
    <n v="21.38"/>
    <s v="Debit Card"/>
    <n v="5.6"/>
  </r>
  <r>
    <s v="INV00446"/>
    <n v="46166"/>
    <s v="14:43"/>
    <x v="4"/>
    <s v="Vijayawada"/>
    <s v="Member"/>
    <s v="Female"/>
    <x v="1"/>
    <n v="154.46"/>
    <n v="10"/>
    <n v="77.23"/>
    <n v="1621.83"/>
    <n v="1275.43"/>
    <n v="346.4"/>
    <n v="21.36"/>
    <s v="Credit Card"/>
    <n v="6.3"/>
  </r>
  <r>
    <s v="INV00002"/>
    <n v="46167"/>
    <s v="12:04"/>
    <x v="4"/>
    <s v="Vijayawada"/>
    <s v="Member"/>
    <s v="Female"/>
    <x v="7"/>
    <n v="130.88"/>
    <n v="1"/>
    <n v="6.54"/>
    <n v="137.41999999999999"/>
    <n v="96.47"/>
    <n v="40.950000000000003"/>
    <n v="29.8"/>
    <s v="UPI"/>
    <n v="9.3000000000000007"/>
  </r>
  <r>
    <s v="INV00407"/>
    <n v="46167"/>
    <s v="15:13"/>
    <x v="3"/>
    <s v="Secunderabad"/>
    <s v="Normal"/>
    <s v="Female"/>
    <x v="2"/>
    <n v="91.54"/>
    <n v="5"/>
    <n v="22.89"/>
    <n v="480.59"/>
    <n v="328.51"/>
    <n v="152.08000000000001"/>
    <n v="31.64"/>
    <s v="UPI"/>
    <n v="6.3"/>
  </r>
  <r>
    <s v="INV00025"/>
    <n v="46168"/>
    <s v="16:38"/>
    <x v="2"/>
    <s v="Hyderabad"/>
    <s v="Normal"/>
    <s v="Male"/>
    <x v="2"/>
    <n v="98.73"/>
    <n v="5"/>
    <n v="24.68"/>
    <n v="518.33000000000004"/>
    <n v="387.28"/>
    <n v="131.05000000000001"/>
    <n v="25.28"/>
    <s v="Cash"/>
    <n v="7.8"/>
  </r>
  <r>
    <s v="INV00072"/>
    <n v="46168"/>
    <s v="11:10"/>
    <x v="0"/>
    <s v="Hyderabad"/>
    <s v="Member"/>
    <s v="Female"/>
    <x v="2"/>
    <n v="85.49"/>
    <n v="2"/>
    <n v="8.5500000000000007"/>
    <n v="179.53"/>
    <n v="132.34"/>
    <n v="47.19"/>
    <n v="26.29"/>
    <s v="UPI"/>
    <n v="8.8000000000000007"/>
  </r>
  <r>
    <s v="INV00240"/>
    <n v="46168"/>
    <s v="13:11"/>
    <x v="0"/>
    <s v="Hyderabad"/>
    <s v="Member"/>
    <s v="Male"/>
    <x v="3"/>
    <n v="304.08"/>
    <n v="1"/>
    <n v="15.2"/>
    <n v="319.27999999999997"/>
    <n v="253.79"/>
    <n v="65.489999999999995"/>
    <n v="20.51"/>
    <s v="Debit Card"/>
    <n v="8.8000000000000007"/>
  </r>
  <r>
    <s v="INV00366"/>
    <n v="46168"/>
    <s v="20:25"/>
    <x v="3"/>
    <s v="Secunderabad"/>
    <s v="Member"/>
    <s v="Female"/>
    <x v="7"/>
    <n v="69.489999999999995"/>
    <n v="9"/>
    <n v="31.27"/>
    <n v="656.68"/>
    <n v="505.67"/>
    <n v="151.01"/>
    <n v="23"/>
    <s v="UPI"/>
    <n v="8.1999999999999993"/>
  </r>
  <r>
    <s v="INV00429"/>
    <n v="46168"/>
    <s v="10:07"/>
    <x v="3"/>
    <s v="Secunderabad"/>
    <s v="Normal"/>
    <s v="Female"/>
    <x v="5"/>
    <n v="59.14"/>
    <n v="8"/>
    <n v="23.66"/>
    <n v="496.78"/>
    <n v="387.75"/>
    <n v="109.03"/>
    <n v="21.95"/>
    <s v="Debit Card"/>
    <n v="6.6"/>
  </r>
  <r>
    <s v="INV00465"/>
    <n v="46168"/>
    <s v="17:51"/>
    <x v="4"/>
    <s v="Vijayawada"/>
    <s v="Normal"/>
    <s v="Female"/>
    <x v="4"/>
    <n v="136.72999999999999"/>
    <n v="9"/>
    <n v="61.53"/>
    <n v="1292.0999999999999"/>
    <n v="970.1"/>
    <n v="322"/>
    <n v="24.92"/>
    <s v="Debit Card"/>
    <n v="7.7"/>
  </r>
  <r>
    <s v="INV00176"/>
    <n v="46169"/>
    <s v="10:22"/>
    <x v="0"/>
    <s v="Hyderabad"/>
    <s v="Member"/>
    <s v="Female"/>
    <x v="0"/>
    <n v="150.71"/>
    <n v="8"/>
    <n v="60.28"/>
    <n v="1265.96"/>
    <n v="1026.78"/>
    <n v="239.18"/>
    <n v="18.89"/>
    <s v="UPI"/>
    <n v="5.6"/>
  </r>
  <r>
    <s v="INV00290"/>
    <n v="46169"/>
    <s v="20:21"/>
    <x v="2"/>
    <s v="Hyderabad"/>
    <s v="Member"/>
    <s v="Female"/>
    <x v="0"/>
    <n v="139.16999999999999"/>
    <n v="1"/>
    <n v="6.96"/>
    <n v="146.13"/>
    <n v="107.2"/>
    <n v="38.93"/>
    <n v="26.64"/>
    <s v="UPI"/>
    <n v="7.9"/>
  </r>
  <r>
    <s v="INV00317"/>
    <n v="46169"/>
    <s v="09:28"/>
    <x v="3"/>
    <s v="Secunderabad"/>
    <s v="Member"/>
    <s v="Female"/>
    <x v="7"/>
    <n v="79.41"/>
    <n v="3"/>
    <n v="11.91"/>
    <n v="250.14"/>
    <n v="169.09"/>
    <n v="81.05"/>
    <n v="32.4"/>
    <s v="UPI"/>
    <n v="7.5"/>
  </r>
  <r>
    <s v="INV00449"/>
    <n v="46169"/>
    <s v="18:05"/>
    <x v="3"/>
    <s v="Secunderabad"/>
    <s v="Normal"/>
    <s v="Female"/>
    <x v="0"/>
    <n v="139.61000000000001"/>
    <n v="1"/>
    <n v="6.98"/>
    <n v="146.59"/>
    <n v="120.43"/>
    <n v="26.16"/>
    <n v="17.850000000000001"/>
    <s v="Credit Card"/>
    <n v="8.9"/>
  </r>
  <r>
    <s v="INV00458"/>
    <n v="46169"/>
    <s v="09:58"/>
    <x v="2"/>
    <s v="Hyderabad"/>
    <s v="Normal"/>
    <s v="Male"/>
    <x v="1"/>
    <n v="125.06"/>
    <n v="4"/>
    <n v="25.01"/>
    <n v="525.25"/>
    <n v="434.12"/>
    <n v="91.13"/>
    <n v="17.350000000000001"/>
    <s v="Cash"/>
    <n v="5.6"/>
  </r>
  <r>
    <s v="INV00273"/>
    <n v="46170"/>
    <s v="14:38"/>
    <x v="4"/>
    <s v="Vijayawada"/>
    <s v="Normal"/>
    <s v="Female"/>
    <x v="1"/>
    <n v="128.97999999999999"/>
    <n v="3"/>
    <n v="19.350000000000001"/>
    <n v="406.29"/>
    <n v="332.96"/>
    <n v="73.33"/>
    <n v="18.05"/>
    <s v="Wallet"/>
    <n v="7.4"/>
  </r>
  <r>
    <s v="INV00403"/>
    <n v="46170"/>
    <s v="14:07"/>
    <x v="2"/>
    <s v="Hyderabad"/>
    <s v="Member"/>
    <s v="Female"/>
    <x v="4"/>
    <n v="198.63"/>
    <n v="3"/>
    <n v="29.79"/>
    <n v="625.67999999999995"/>
    <n v="500.44"/>
    <n v="125.24"/>
    <n v="20.02"/>
    <s v="Debit Card"/>
    <n v="5.0999999999999996"/>
  </r>
  <r>
    <s v="INV00086"/>
    <n v="46171"/>
    <s v="14:44"/>
    <x v="3"/>
    <s v="Secunderabad"/>
    <s v="Member"/>
    <s v="Male"/>
    <x v="4"/>
    <n v="200.98"/>
    <n v="7"/>
    <n v="70.34"/>
    <n v="1477.2"/>
    <n v="1208.07"/>
    <n v="269.13"/>
    <n v="18.22"/>
    <s v="Debit Card"/>
    <n v="8.8000000000000007"/>
  </r>
  <r>
    <s v="INV00370"/>
    <n v="46171"/>
    <s v="17:22"/>
    <x v="0"/>
    <s v="Hyderabad"/>
    <s v="Member"/>
    <s v="Male"/>
    <x v="0"/>
    <n v="99.07"/>
    <n v="10"/>
    <n v="49.54"/>
    <n v="1040.24"/>
    <n v="716.3"/>
    <n v="323.94"/>
    <n v="31.14"/>
    <s v="Wallet"/>
    <n v="9"/>
  </r>
  <r>
    <s v="INV00146"/>
    <n v="46172"/>
    <s v="13:39"/>
    <x v="0"/>
    <s v="Hyderabad"/>
    <s v="Normal"/>
    <s v="Female"/>
    <x v="0"/>
    <n v="101.94"/>
    <n v="3"/>
    <n v="15.29"/>
    <n v="321.11"/>
    <n v="236.63"/>
    <n v="84.48"/>
    <n v="26.31"/>
    <s v="Debit Card"/>
    <n v="8.1999999999999993"/>
  </r>
  <r>
    <s v="INV00336"/>
    <n v="46172"/>
    <s v="09:55"/>
    <x v="0"/>
    <s v="Hyderabad"/>
    <s v="Normal"/>
    <s v="Male"/>
    <x v="6"/>
    <n v="212.72"/>
    <n v="1"/>
    <n v="10.64"/>
    <n v="223.36"/>
    <n v="175.16"/>
    <n v="48.2"/>
    <n v="21.58"/>
    <s v="Credit Card"/>
    <n v="10"/>
  </r>
  <r>
    <s v="INV00306"/>
    <n v="46173"/>
    <s v="10:47"/>
    <x v="4"/>
    <s v="Vijayawada"/>
    <s v="Normal"/>
    <s v="Male"/>
    <x v="2"/>
    <n v="98.99"/>
    <n v="8"/>
    <n v="39.6"/>
    <n v="831.52"/>
    <n v="677.08"/>
    <n v="154.44"/>
    <n v="18.57"/>
    <s v="Debit Card"/>
    <n v="6.2"/>
  </r>
  <r>
    <s v="INV00355"/>
    <n v="46173"/>
    <s v="15:32"/>
    <x v="0"/>
    <s v="Hyderabad"/>
    <s v="Member"/>
    <s v="Male"/>
    <x v="4"/>
    <n v="136.52000000000001"/>
    <n v="6"/>
    <n v="40.96"/>
    <n v="860.08"/>
    <n v="661.37"/>
    <n v="198.71"/>
    <n v="23.1"/>
    <s v="Cash"/>
    <n v="9.1"/>
  </r>
  <r>
    <s v="INV00361"/>
    <n v="46173"/>
    <s v="20:29"/>
    <x v="3"/>
    <s v="Secunderabad"/>
    <s v="Normal"/>
    <s v="Female"/>
    <x v="2"/>
    <n v="92.5"/>
    <n v="8"/>
    <n v="37"/>
    <n v="777"/>
    <n v="635.83000000000004"/>
    <n v="141.16999999999999"/>
    <n v="18.170000000000002"/>
    <s v="UPI"/>
    <n v="6.8"/>
  </r>
  <r>
    <s v="INV00373"/>
    <n v="46173"/>
    <s v="20:01"/>
    <x v="0"/>
    <s v="Hyderabad"/>
    <s v="Normal"/>
    <s v="Female"/>
    <x v="5"/>
    <n v="79.760000000000005"/>
    <n v="6"/>
    <n v="23.93"/>
    <n v="502.49"/>
    <n v="369.1"/>
    <n v="133.38999999999999"/>
    <n v="26.55"/>
    <s v="Wallet"/>
    <n v="9.1"/>
  </r>
  <r>
    <s v="INV00450"/>
    <n v="46173"/>
    <s v="09:50"/>
    <x v="0"/>
    <s v="Hyderabad"/>
    <s v="Normal"/>
    <s v="Female"/>
    <x v="7"/>
    <n v="120.49"/>
    <n v="10"/>
    <n v="60.24"/>
    <n v="1265.1400000000001"/>
    <n v="1036.43"/>
    <n v="228.71"/>
    <n v="18.079999999999998"/>
    <s v="Credit Card"/>
    <n v="8.1999999999999993"/>
  </r>
  <r>
    <s v="INV00015"/>
    <n v="46174"/>
    <s v="21:41"/>
    <x v="0"/>
    <s v="Hyderabad"/>
    <s v="Normal"/>
    <s v="Female"/>
    <x v="1"/>
    <n v="164.67"/>
    <n v="4"/>
    <n v="32.93"/>
    <n v="691.61"/>
    <n v="524.51"/>
    <n v="167.1"/>
    <n v="24.16"/>
    <s v="UPI"/>
    <n v="7.1"/>
  </r>
  <r>
    <s v="INV00068"/>
    <n v="46174"/>
    <s v="09:45"/>
    <x v="4"/>
    <s v="Vijayawada"/>
    <s v="Member"/>
    <s v="Male"/>
    <x v="6"/>
    <n v="178.65"/>
    <n v="7"/>
    <n v="62.53"/>
    <n v="1313.08"/>
    <n v="968.69"/>
    <n v="344.39"/>
    <n v="26.23"/>
    <s v="Cash"/>
    <n v="7.3"/>
  </r>
  <r>
    <s v="INV00204"/>
    <n v="46174"/>
    <s v="19:19"/>
    <x v="4"/>
    <s v="Vijayawada"/>
    <s v="Member"/>
    <s v="Male"/>
    <x v="1"/>
    <n v="134.53"/>
    <n v="4"/>
    <n v="26.91"/>
    <n v="565.03"/>
    <n v="406.41"/>
    <n v="158.62"/>
    <n v="28.07"/>
    <s v="Debit Card"/>
    <m/>
  </r>
  <r>
    <s v="INV00427"/>
    <n v="46174"/>
    <s v="19:56"/>
    <x v="2"/>
    <s v="Hyderabad"/>
    <s v="Member"/>
    <s v="Female"/>
    <x v="4"/>
    <n v="198.29"/>
    <n v="3"/>
    <n v="29.74"/>
    <n v="624.61"/>
    <n v="475.01"/>
    <n v="149.6"/>
    <n v="23.95"/>
    <s v="UPI"/>
    <n v="9.3000000000000007"/>
  </r>
  <r>
    <s v="INV00351"/>
    <n v="46175"/>
    <s v="12:15"/>
    <x v="2"/>
    <s v="Hyderabad"/>
    <s v="Normal"/>
    <s v="Female"/>
    <x v="1"/>
    <n v="167.28"/>
    <n v="7"/>
    <n v="58.55"/>
    <n v="1229.51"/>
    <n v="1012.67"/>
    <n v="216.84"/>
    <n v="17.64"/>
    <s v="Wallet"/>
    <n v="7.6"/>
  </r>
  <r>
    <s v="INV00439"/>
    <n v="46175"/>
    <s v="13:43"/>
    <x v="1"/>
    <s v="Warangal"/>
    <s v="Member"/>
    <s v="Male"/>
    <x v="1"/>
    <n v="151.41999999999999"/>
    <n v="9"/>
    <n v="68.14"/>
    <n v="1430.92"/>
    <n v="1114.8800000000001"/>
    <n v="316.04000000000002"/>
    <n v="22.09"/>
    <s v="Cash"/>
    <n v="9.4"/>
  </r>
  <r>
    <s v="INV00222"/>
    <n v="46176"/>
    <s v="19:20"/>
    <x v="2"/>
    <s v="Hyderabad"/>
    <s v="Member"/>
    <s v="Female"/>
    <x v="4"/>
    <n v="298.45999999999998"/>
    <n v="4"/>
    <n v="59.69"/>
    <n v="1253.53"/>
    <n v="953.74"/>
    <n v="299.79000000000002"/>
    <n v="23.92"/>
    <s v="Cash"/>
    <n v="7.9"/>
  </r>
  <r>
    <s v="INV00261"/>
    <n v="46176"/>
    <s v="21:25"/>
    <x v="2"/>
    <s v="Hyderabad"/>
    <s v="Member"/>
    <s v="Female"/>
    <x v="4"/>
    <n v="146.99"/>
    <n v="10"/>
    <n v="73.5"/>
    <n v="1543.4"/>
    <n v="1284.8499999999999"/>
    <n v="258.55"/>
    <n v="16.75"/>
    <s v="UPI"/>
    <n v="6.7"/>
  </r>
  <r>
    <s v="INV00324"/>
    <n v="46176"/>
    <s v="20:36"/>
    <x v="3"/>
    <s v="Secunderabad"/>
    <s v="Member"/>
    <s v="Female"/>
    <x v="3"/>
    <n v="329.97"/>
    <n v="3"/>
    <n v="49.5"/>
    <n v="1039.4100000000001"/>
    <n v="766.67"/>
    <n v="272.74"/>
    <n v="26.24"/>
    <s v="Cash"/>
    <n v="9.6"/>
  </r>
  <r>
    <s v="INV00496"/>
    <n v="46176"/>
    <s v="09:11"/>
    <x v="3"/>
    <s v="Secunderabad"/>
    <s v="Normal"/>
    <s v="Male"/>
    <x v="1"/>
    <n v="184.88"/>
    <n v="7"/>
    <n v="64.709999999999994"/>
    <n v="1358.87"/>
    <n v="961.14"/>
    <n v="397.73"/>
    <n v="29.27"/>
    <s v="Credit Card"/>
    <n v="7.7"/>
  </r>
  <r>
    <s v="INV00083"/>
    <n v="46177"/>
    <s v="16:53"/>
    <x v="3"/>
    <s v="Secunderabad"/>
    <s v="Member"/>
    <s v="Female"/>
    <x v="6"/>
    <n v="209.61"/>
    <n v="10"/>
    <n v="104.81"/>
    <n v="2200.91"/>
    <n v="1597.52"/>
    <n v="603.39"/>
    <n v="27.42"/>
    <s v="Debit Card"/>
    <n v="8.6"/>
  </r>
  <r>
    <s v="INV00248"/>
    <n v="46177"/>
    <s v="15:22"/>
    <x v="4"/>
    <s v="Vijayawada"/>
    <s v="Member"/>
    <s v="Male"/>
    <x v="7"/>
    <n v="127.53"/>
    <n v="1"/>
    <n v="6.38"/>
    <n v="133.91"/>
    <n v="103.73"/>
    <n v="30.18"/>
    <n v="22.54"/>
    <s v="UPI"/>
    <n v="8.6999999999999993"/>
  </r>
  <r>
    <s v="INV00026"/>
    <n v="46178"/>
    <s v="13:22"/>
    <x v="4"/>
    <s v="Vijayawada"/>
    <s v="Member"/>
    <s v="Male"/>
    <x v="6"/>
    <n v="209.15"/>
    <n v="6"/>
    <n v="62.74"/>
    <n v="1317.64"/>
    <n v="884.83"/>
    <n v="432.81"/>
    <n v="32.85"/>
    <s v="UPI"/>
    <n v="7.7"/>
  </r>
  <r>
    <s v="INV00137"/>
    <n v="46178"/>
    <s v="18:54"/>
    <x v="2"/>
    <s v="Hyderabad"/>
    <s v="Normal"/>
    <s v="Female"/>
    <x v="7"/>
    <n v="89.96"/>
    <n v="8"/>
    <n v="35.979999999999997"/>
    <n v="755.66"/>
    <n v="530.13"/>
    <n v="225.53"/>
    <n v="29.85"/>
    <s v="UPI"/>
    <n v="6.9"/>
  </r>
  <r>
    <s v="INV00027"/>
    <n v="46179"/>
    <s v="21:13"/>
    <x v="0"/>
    <s v="Hyderabad"/>
    <s v="Normal"/>
    <s v="Male"/>
    <x v="6"/>
    <n v="230.3"/>
    <n v="6"/>
    <n v="69.09"/>
    <n v="1450.89"/>
    <n v="1019.5"/>
    <n v="431.39"/>
    <n v="29.73"/>
    <s v="Debit Card"/>
    <n v="8.6999999999999993"/>
  </r>
  <r>
    <s v="INV00160"/>
    <n v="46179"/>
    <s v="19:42"/>
    <x v="1"/>
    <s v="Warangal"/>
    <s v="Member"/>
    <s v="Male"/>
    <x v="7"/>
    <n v="96.25"/>
    <n v="4"/>
    <n v="19.25"/>
    <n v="404.25"/>
    <n v="338.05"/>
    <n v="66.2"/>
    <n v="16.38"/>
    <s v="UPI"/>
    <n v="8.5"/>
  </r>
  <r>
    <s v="INV00045"/>
    <n v="46180"/>
    <s v="16:40"/>
    <x v="3"/>
    <s v="Secunderabad"/>
    <s v="Normal"/>
    <s v="Female"/>
    <x v="7"/>
    <n v="62.17"/>
    <n v="9"/>
    <n v="27.98"/>
    <n v="587.51"/>
    <n v="447.4"/>
    <n v="140.11000000000001"/>
    <n v="23.85"/>
    <s v="UPI"/>
    <n v="9.1"/>
  </r>
  <r>
    <s v="INV00363"/>
    <n v="46180"/>
    <s v="18:43"/>
    <x v="2"/>
    <s v="Hyderabad"/>
    <s v="Normal"/>
    <s v="Female"/>
    <x v="7"/>
    <n v="80.510000000000005"/>
    <n v="8"/>
    <n v="32.200000000000003"/>
    <n v="676.28"/>
    <n v="474.11"/>
    <n v="202.17"/>
    <n v="29.89"/>
    <s v="UPI"/>
    <n v="5.6"/>
  </r>
  <r>
    <s v="INV00147"/>
    <n v="46182"/>
    <s v="17:04"/>
    <x v="2"/>
    <s v="Hyderabad"/>
    <s v="Normal"/>
    <s v="Female"/>
    <x v="7"/>
    <n v="73.489999999999995"/>
    <n v="3"/>
    <n v="11.02"/>
    <n v="231.49"/>
    <n v="180.04"/>
    <n v="51.45"/>
    <n v="22.23"/>
    <s v="Debit Card"/>
    <n v="7"/>
  </r>
  <r>
    <s v="INV00249"/>
    <n v="46182"/>
    <s v="18:12"/>
    <x v="4"/>
    <s v="Vijayawada"/>
    <s v="Normal"/>
    <s v="Male"/>
    <x v="0"/>
    <n v="157.81"/>
    <n v="9"/>
    <n v="71.010000000000005"/>
    <n v="1491.3"/>
    <n v="1213.58"/>
    <n v="277.72000000000003"/>
    <n v="18.62"/>
    <s v="UPI"/>
    <n v="6.3"/>
  </r>
  <r>
    <s v="INV00089"/>
    <n v="46183"/>
    <s v="19:15"/>
    <x v="4"/>
    <s v="Vijayawada"/>
    <s v="Normal"/>
    <s v="Female"/>
    <x v="1"/>
    <n v="108.29"/>
    <n v="5"/>
    <n v="27.07"/>
    <n v="568.52"/>
    <n v="435.75"/>
    <n v="132.77000000000001"/>
    <n v="23.35"/>
    <s v="Wallet"/>
    <n v="6.8"/>
  </r>
  <r>
    <s v="INV00109"/>
    <n v="46183"/>
    <s v="10:35"/>
    <x v="0"/>
    <s v="Hyderabad"/>
    <s v="Normal"/>
    <s v="Male"/>
    <x v="6"/>
    <n v="199.28"/>
    <n v="3"/>
    <n v="29.89"/>
    <n v="627.73"/>
    <n v="480.41"/>
    <n v="147.32"/>
    <n v="23.47"/>
    <s v="Cash"/>
    <n v="7.7"/>
  </r>
  <r>
    <s v="INV00460"/>
    <n v="46184"/>
    <s v="20:56"/>
    <x v="0"/>
    <s v="Hyderabad"/>
    <s v="Normal"/>
    <s v="Female"/>
    <x v="2"/>
    <n v="61.93"/>
    <n v="10"/>
    <n v="30.96"/>
    <n v="650.26"/>
    <n v="464.66"/>
    <n v="185.6"/>
    <n v="28.54"/>
    <s v="Wallet"/>
    <n v="8.1"/>
  </r>
  <r>
    <s v="INV00339"/>
    <n v="46185"/>
    <s v="18:34"/>
    <x v="2"/>
    <s v="Hyderabad"/>
    <s v="Member"/>
    <s v="Female"/>
    <x v="7"/>
    <n v="80.14"/>
    <n v="5"/>
    <n v="20.04"/>
    <n v="420.74"/>
    <n v="349.26"/>
    <n v="71.48"/>
    <n v="16.989999999999998"/>
    <s v="Cash"/>
    <n v="5.8"/>
  </r>
  <r>
    <s v="INV00226"/>
    <n v="46186"/>
    <s v="16:25"/>
    <x v="3"/>
    <s v="Secunderabad"/>
    <s v="Normal"/>
    <s v="Female"/>
    <x v="2"/>
    <n v="94.22"/>
    <n v="5"/>
    <n v="23.56"/>
    <n v="494.66"/>
    <n v="348.85"/>
    <n v="145.81"/>
    <n v="29.48"/>
    <s v="Wallet"/>
    <n v="6.7"/>
  </r>
  <r>
    <s v="INV00034"/>
    <n v="46187"/>
    <s v="10:24"/>
    <x v="4"/>
    <s v="Vijayawada"/>
    <s v="Member"/>
    <s v="Male"/>
    <x v="7"/>
    <n v="65.22"/>
    <n v="1"/>
    <n v="3.26"/>
    <n v="68.48"/>
    <n v="51.72"/>
    <n v="16.760000000000002"/>
    <n v="24.47"/>
    <s v="Debit Card"/>
    <n v="7.9"/>
  </r>
  <r>
    <s v="INV00107"/>
    <n v="46187"/>
    <s v="10:14"/>
    <x v="3"/>
    <s v="Secunderabad"/>
    <s v="Member"/>
    <s v="Female"/>
    <x v="4"/>
    <n v="288.11"/>
    <n v="5"/>
    <n v="72.03"/>
    <n v="1512.58"/>
    <n v="1093.32"/>
    <n v="419.26"/>
    <n v="27.72"/>
    <s v="Cash"/>
    <n v="6.5"/>
  </r>
  <r>
    <s v="INV00106"/>
    <n v="46188"/>
    <s v="10:53"/>
    <x v="3"/>
    <s v="Secunderabad"/>
    <s v="Member"/>
    <s v="Male"/>
    <x v="6"/>
    <n v="138.09"/>
    <n v="4"/>
    <n v="27.62"/>
    <n v="579.98"/>
    <n v="406.9"/>
    <n v="173.08"/>
    <n v="29.84"/>
    <s v="UPI"/>
    <n v="7.4"/>
  </r>
  <r>
    <s v="INV00084"/>
    <n v="46189"/>
    <s v="12:34"/>
    <x v="0"/>
    <s v="Hyderabad"/>
    <s v="Normal"/>
    <s v="Male"/>
    <x v="3"/>
    <n v="383.77"/>
    <n v="8"/>
    <n v="153.51"/>
    <n v="3223.67"/>
    <n v="2378.0100000000002"/>
    <n v="845.66"/>
    <n v="26.23"/>
    <s v="Cash"/>
    <n v="6.4"/>
  </r>
  <r>
    <s v="INV00136"/>
    <n v="46189"/>
    <s v="09:15"/>
    <x v="3"/>
    <s v="Secunderabad"/>
    <s v="Member"/>
    <s v="Male"/>
    <x v="6"/>
    <n v="206.42"/>
    <n v="2"/>
    <n v="20.64"/>
    <n v="433.48"/>
    <n v="353.95"/>
    <n v="79.53"/>
    <n v="18.350000000000001"/>
    <s v="Credit Card"/>
    <n v="7.2"/>
  </r>
  <r>
    <s v="INV00329"/>
    <n v="46190"/>
    <s v="20:48"/>
    <x v="3"/>
    <s v="Secunderabad"/>
    <s v="Normal"/>
    <s v="Female"/>
    <x v="2"/>
    <n v="65.540000000000006"/>
    <n v="2"/>
    <n v="6.55"/>
    <n v="137.63"/>
    <n v="114.14"/>
    <n v="23.49"/>
    <n v="17.07"/>
    <s v="Wallet"/>
    <n v="7.6"/>
  </r>
  <r>
    <s v="INV00381"/>
    <n v="46190"/>
    <s v="14:12"/>
    <x v="0"/>
    <s v="Hyderabad"/>
    <s v="Member"/>
    <s v="Male"/>
    <x v="4"/>
    <n v="242.8"/>
    <n v="9"/>
    <n v="109.26"/>
    <n v="2294.46"/>
    <n v="1716.46"/>
    <n v="578"/>
    <n v="25.19"/>
    <s v="UPI"/>
    <n v="9.1"/>
  </r>
  <r>
    <s v="INV00422"/>
    <n v="46190"/>
    <s v="13:18"/>
    <x v="4"/>
    <s v="Vijayawada"/>
    <s v="Member"/>
    <s v="Male"/>
    <x v="6"/>
    <n v="178.73"/>
    <n v="10"/>
    <n v="89.36"/>
    <n v="1876.66"/>
    <n v="1481.2"/>
    <n v="395.46"/>
    <n v="21.07"/>
    <s v="UPI"/>
    <n v="7.3"/>
  </r>
  <r>
    <s v="INV00492"/>
    <n v="46190"/>
    <s v="10:36"/>
    <x v="2"/>
    <s v="Hyderabad"/>
    <s v="Member"/>
    <s v="Male"/>
    <x v="5"/>
    <n v="66.42"/>
    <n v="3"/>
    <n v="9.9600000000000009"/>
    <n v="209.22"/>
    <n v="149"/>
    <n v="60.22"/>
    <n v="28.78"/>
    <s v="UPI"/>
    <n v="7.2"/>
  </r>
  <r>
    <s v="INV00202"/>
    <n v="46191"/>
    <s v="11:29"/>
    <x v="0"/>
    <s v="Hyderabad"/>
    <s v="Member"/>
    <s v="Male"/>
    <x v="1"/>
    <n v="206.35"/>
    <n v="6"/>
    <n v="61.9"/>
    <n v="1300"/>
    <n v="987.38"/>
    <n v="312.62"/>
    <n v="24.05"/>
    <s v="UPI"/>
    <n v="6.4"/>
  </r>
  <r>
    <s v="INV00225"/>
    <n v="46191"/>
    <s v="21:53"/>
    <x v="3"/>
    <s v="Secunderabad"/>
    <s v="Member"/>
    <s v="Female"/>
    <x v="7"/>
    <n v="102.29"/>
    <n v="6"/>
    <n v="30.69"/>
    <n v="644.42999999999995"/>
    <n v="512.28"/>
    <n v="132.15"/>
    <n v="20.51"/>
    <s v="UPI"/>
    <n v="6.2"/>
  </r>
  <r>
    <s v="INV00409"/>
    <n v="46191"/>
    <s v="14:43"/>
    <x v="4"/>
    <s v="Vijayawada"/>
    <s v="Normal"/>
    <s v="Female"/>
    <x v="4"/>
    <n v="172.12"/>
    <n v="6"/>
    <n v="51.64"/>
    <n v="1084.3599999999999"/>
    <n v="854.27"/>
    <n v="230.09"/>
    <n v="21.22"/>
    <s v="Credit Card"/>
    <n v="8.3000000000000007"/>
  </r>
  <r>
    <s v="INV00076"/>
    <n v="46192"/>
    <s v="16:38"/>
    <x v="1"/>
    <s v="Warangal"/>
    <s v="Member"/>
    <s v="Female"/>
    <x v="0"/>
    <n v="155.55000000000001"/>
    <n v="5"/>
    <n v="38.89"/>
    <n v="816.64"/>
    <n v="604.57000000000005"/>
    <n v="212.07"/>
    <n v="25.97"/>
    <s v="Credit Card"/>
    <n v="8.5"/>
  </r>
  <r>
    <s v="INV00128"/>
    <n v="46192"/>
    <s v="09:36"/>
    <x v="4"/>
    <s v="Vijayawada"/>
    <s v="Member"/>
    <s v="Female"/>
    <x v="2"/>
    <n v="89.68"/>
    <n v="10"/>
    <n v="44.84"/>
    <n v="941.64"/>
    <n v="770.72"/>
    <n v="170.92"/>
    <n v="18.149999999999999"/>
    <s v="Credit Card"/>
    <n v="8"/>
  </r>
  <r>
    <s v="INV00383"/>
    <n v="46192"/>
    <s v="10:11"/>
    <x v="2"/>
    <s v="Hyderabad"/>
    <s v="Normal"/>
    <s v="Male"/>
    <x v="1"/>
    <n v="94.76"/>
    <n v="1"/>
    <n v="4.74"/>
    <n v="99.5"/>
    <n v="82.41"/>
    <n v="17.09"/>
    <n v="17.18"/>
    <s v="Credit Card"/>
    <n v="7.9"/>
  </r>
  <r>
    <s v="INV00004"/>
    <n v="46193"/>
    <s v="12:14"/>
    <x v="2"/>
    <s v="Hyderabad"/>
    <s v="Normal"/>
    <s v="Female"/>
    <x v="2"/>
    <n v="91.94"/>
    <n v="6"/>
    <n v="27.58"/>
    <n v="579.22"/>
    <n v="419.27"/>
    <n v="159.94999999999999"/>
    <n v="27.61"/>
    <s v="UPI"/>
    <n v="9.5"/>
  </r>
  <r>
    <s v="INV00103"/>
    <n v="46193"/>
    <s v="09:59"/>
    <x v="3"/>
    <s v="Secunderabad"/>
    <s v="Normal"/>
    <s v="Male"/>
    <x v="4"/>
    <n v="239.41"/>
    <n v="1"/>
    <n v="11.97"/>
    <n v="251.38"/>
    <n v="196.85"/>
    <n v="54.53"/>
    <n v="21.69"/>
    <s v="Cash"/>
    <n v="5.3"/>
  </r>
  <r>
    <s v="INV00229"/>
    <n v="46193"/>
    <s v="19:16"/>
    <x v="4"/>
    <s v="Vijayawada"/>
    <s v="Normal"/>
    <s v="Male"/>
    <x v="4"/>
    <n v="157.47"/>
    <n v="8"/>
    <n v="62.99"/>
    <n v="1322.75"/>
    <n v="986.85"/>
    <n v="335.9"/>
    <n v="25.39"/>
    <s v="Cash"/>
    <n v="7.3"/>
  </r>
  <r>
    <s v="INV00232"/>
    <n v="46193"/>
    <s v="20:52"/>
    <x v="2"/>
    <s v="Hyderabad"/>
    <s v="Member"/>
    <s v="Female"/>
    <x v="2"/>
    <n v="94.62"/>
    <n v="10"/>
    <n v="47.31"/>
    <n v="993.51"/>
    <n v="802.64"/>
    <n v="190.87"/>
    <n v="19.21"/>
    <s v="Cash"/>
    <n v="6.4"/>
  </r>
  <r>
    <s v="INV00303"/>
    <n v="46193"/>
    <s v="16:08"/>
    <x v="2"/>
    <s v="Hyderabad"/>
    <s v="Member"/>
    <s v="Male"/>
    <x v="7"/>
    <n v="123.18"/>
    <n v="1"/>
    <n v="6.16"/>
    <n v="129.34"/>
    <n v="96.63"/>
    <n v="32.71"/>
    <n v="25.29"/>
    <s v="UPI"/>
    <n v="6.8"/>
  </r>
  <r>
    <s v="INV00359"/>
    <n v="46193"/>
    <s v="12:25"/>
    <x v="4"/>
    <s v="Vijayawada"/>
    <s v="Member"/>
    <s v="Female"/>
    <x v="7"/>
    <n v="115.48"/>
    <n v="3"/>
    <n v="17.32"/>
    <n v="363.76"/>
    <n v="265.92"/>
    <n v="97.84"/>
    <n v="26.9"/>
    <s v="UPI"/>
    <n v="7.1"/>
  </r>
  <r>
    <s v="INV00098"/>
    <n v="46194"/>
    <s v="11:47"/>
    <x v="2"/>
    <s v="Hyderabad"/>
    <s v="Member"/>
    <s v="Male"/>
    <x v="4"/>
    <n v="197.3"/>
    <n v="2"/>
    <n v="19.73"/>
    <n v="414.33"/>
    <n v="316.83999999999997"/>
    <n v="97.49"/>
    <n v="23.53"/>
    <s v="UPI"/>
    <n v="6"/>
  </r>
  <r>
    <s v="INV00125"/>
    <n v="46194"/>
    <s v="14:13"/>
    <x v="0"/>
    <s v="Hyderabad"/>
    <s v="Normal"/>
    <s v="Male"/>
    <x v="7"/>
    <n v="112.9"/>
    <n v="4"/>
    <n v="22.58"/>
    <n v="474.18"/>
    <n v="385.81"/>
    <n v="88.37"/>
    <n v="18.64"/>
    <s v="Debit Card"/>
    <n v="8.5"/>
  </r>
  <r>
    <s v="INV00207"/>
    <n v="46194"/>
    <s v="10:00"/>
    <x v="0"/>
    <s v="Hyderabad"/>
    <s v="Normal"/>
    <s v="Male"/>
    <x v="3"/>
    <n v="321.68"/>
    <n v="6"/>
    <n v="96.5"/>
    <n v="2026.58"/>
    <n v="1485.23"/>
    <n v="541.35"/>
    <n v="26.71"/>
    <s v="Debit Card"/>
    <n v="7"/>
  </r>
  <r>
    <s v="INV00298"/>
    <n v="46194"/>
    <s v="16:32"/>
    <x v="0"/>
    <s v="Hyderabad"/>
    <s v="Member"/>
    <s v="Female"/>
    <x v="7"/>
    <n v="92.72"/>
    <n v="1"/>
    <n v="4.6399999999999997"/>
    <n v="97.36"/>
    <n v="79.400000000000006"/>
    <n v="17.96"/>
    <n v="18.45"/>
    <s v="Debit Card"/>
    <n v="7.3"/>
  </r>
  <r>
    <s v="INV00376"/>
    <n v="46194"/>
    <s v="11:54"/>
    <x v="3"/>
    <s v="Secunderabad"/>
    <s v="Normal"/>
    <s v="Male"/>
    <x v="4"/>
    <n v="298.47000000000003"/>
    <n v="9"/>
    <n v="134.31"/>
    <n v="2820.54"/>
    <n v="2028.34"/>
    <n v="792.2"/>
    <n v="28.09"/>
    <s v="Debit Card"/>
    <n v="7.1"/>
  </r>
  <r>
    <s v="INV00145"/>
    <n v="46195"/>
    <s v="11:40"/>
    <x v="3"/>
    <s v="Secunderabad"/>
    <s v="Member"/>
    <s v="Male"/>
    <x v="1"/>
    <n v="197.5"/>
    <n v="10"/>
    <n v="98.75"/>
    <n v="2073.75"/>
    <n v="1387.25"/>
    <n v="686.5"/>
    <n v="33.1"/>
    <s v="Credit Card"/>
    <n v="7.9"/>
  </r>
  <r>
    <s v="INV00269"/>
    <n v="46195"/>
    <s v="10:42"/>
    <x v="3"/>
    <s v="Secunderabad"/>
    <s v="Normal"/>
    <s v="Female"/>
    <x v="3"/>
    <n v="384.06"/>
    <n v="6"/>
    <n v="115.22"/>
    <n v="2419.58"/>
    <n v="1849.96"/>
    <n v="569.62"/>
    <n v="23.54"/>
    <s v="UPI"/>
    <n v="6.9"/>
  </r>
  <r>
    <s v="INV00341"/>
    <n v="46195"/>
    <s v="12:52"/>
    <x v="2"/>
    <s v="Hyderabad"/>
    <s v="Member"/>
    <s v="Male"/>
    <x v="1"/>
    <n v="189.66"/>
    <n v="5"/>
    <n v="47.42"/>
    <n v="995.72"/>
    <n v="763.58"/>
    <n v="232.14"/>
    <n v="23.31"/>
    <s v="Cash"/>
    <n v="9.1"/>
  </r>
  <r>
    <s v="INV00418"/>
    <n v="46195"/>
    <s v="21:33"/>
    <x v="3"/>
    <s v="Secunderabad"/>
    <s v="Member"/>
    <s v="Female"/>
    <x v="0"/>
    <n v="128.84"/>
    <n v="2"/>
    <n v="12.88"/>
    <n v="270.56"/>
    <n v="220.98"/>
    <n v="49.58"/>
    <n v="18.32"/>
    <s v="UPI"/>
    <n v="7.4"/>
  </r>
  <r>
    <s v="INV00440"/>
    <n v="46195"/>
    <s v="10:29"/>
    <x v="0"/>
    <s v="Hyderabad"/>
    <s v="Normal"/>
    <s v="Male"/>
    <x v="7"/>
    <n v="92.48"/>
    <n v="4"/>
    <n v="18.5"/>
    <n v="388.42"/>
    <n v="296.2"/>
    <n v="92.22"/>
    <n v="23.74"/>
    <s v="Debit Card"/>
    <n v="7.6"/>
  </r>
  <r>
    <s v="INV00038"/>
    <n v="46196"/>
    <s v="14:02"/>
    <x v="0"/>
    <s v="Hyderabad"/>
    <s v="Normal"/>
    <s v="Female"/>
    <x v="4"/>
    <n v="192.17"/>
    <n v="9"/>
    <n v="86.48"/>
    <n v="1816.01"/>
    <n v="1434.99"/>
    <n v="381.02"/>
    <n v="20.98"/>
    <s v="Debit Card"/>
    <n v="6.6"/>
  </r>
  <r>
    <s v="INV00182"/>
    <n v="46197"/>
    <s v="18:06"/>
    <x v="0"/>
    <s v="Hyderabad"/>
    <s v="Member"/>
    <s v="Male"/>
    <x v="4"/>
    <n v="275.39"/>
    <n v="9"/>
    <n v="123.93"/>
    <n v="2602.44"/>
    <n v="1994.17"/>
    <n v="608.27"/>
    <n v="23.37"/>
    <s v="Debit Card"/>
    <n v="5.3"/>
  </r>
  <r>
    <s v="INV00282"/>
    <n v="46197"/>
    <s v="17:31"/>
    <x v="3"/>
    <s v="Secunderabad"/>
    <s v="Normal"/>
    <s v="Male"/>
    <x v="7"/>
    <n v="124.71"/>
    <n v="4"/>
    <n v="24.94"/>
    <n v="523.78"/>
    <n v="412.59"/>
    <n v="111.19"/>
    <n v="21.23"/>
    <s v="Debit Card"/>
    <n v="6.1"/>
  </r>
  <r>
    <s v="INV00040"/>
    <n v="46198"/>
    <s v="10:10"/>
    <x v="2"/>
    <s v="Hyderabad"/>
    <s v="Member"/>
    <s v="Male"/>
    <x v="1"/>
    <n v="117"/>
    <n v="3"/>
    <n v="17.55"/>
    <n v="368.55"/>
    <n v="273.89"/>
    <n v="94.66"/>
    <n v="25.68"/>
    <s v="Credit Card"/>
    <n v="7.4"/>
  </r>
  <r>
    <s v="INV00266"/>
    <n v="46198"/>
    <s v="17:22"/>
    <x v="1"/>
    <s v="Warangal"/>
    <s v="Member"/>
    <s v="Female"/>
    <x v="7"/>
    <n v="132.16"/>
    <n v="9"/>
    <n v="59.47"/>
    <n v="1248.9100000000001"/>
    <n v="976.97"/>
    <n v="271.94"/>
    <n v="21.77"/>
    <s v="Credit Card"/>
    <n v="5.0999999999999996"/>
  </r>
  <r>
    <s v="INV00386"/>
    <n v="46198"/>
    <s v="13:50"/>
    <x v="4"/>
    <s v="Vijayawada"/>
    <s v="Member"/>
    <s v="Female"/>
    <x v="4"/>
    <n v="248.45"/>
    <n v="10"/>
    <n v="124.22"/>
    <n v="2608.7199999999998"/>
    <n v="1976.12"/>
    <n v="632.6"/>
    <n v="24.25"/>
    <s v="Wallet"/>
    <n v="8.5"/>
  </r>
  <r>
    <s v="INV00142"/>
    <n v="46199"/>
    <s v="15:24"/>
    <x v="3"/>
    <s v="Secunderabad"/>
    <s v="Member"/>
    <s v="Male"/>
    <x v="3"/>
    <n v="250.72"/>
    <n v="3"/>
    <n v="37.61"/>
    <n v="789.77"/>
    <n v="637.61"/>
    <n v="152.16"/>
    <n v="19.27"/>
    <s v="Credit Card"/>
    <n v="7.8"/>
  </r>
  <r>
    <s v="INV00322"/>
    <n v="46199"/>
    <s v="17:12"/>
    <x v="1"/>
    <s v="Warangal"/>
    <s v="Member"/>
    <s v="Female"/>
    <x v="1"/>
    <n v="199.36"/>
    <n v="8"/>
    <n v="79.739999999999995"/>
    <n v="1674.62"/>
    <n v="1331.09"/>
    <n v="343.53"/>
    <n v="20.51"/>
    <s v="Credit Card"/>
    <n v="6.3"/>
  </r>
  <r>
    <s v="INV00401"/>
    <n v="46199"/>
    <s v="16:20"/>
    <x v="0"/>
    <s v="Hyderabad"/>
    <s v="Member"/>
    <s v="Female"/>
    <x v="4"/>
    <n v="171.59"/>
    <n v="6"/>
    <n v="51.48"/>
    <n v="1081.02"/>
    <n v="752.2"/>
    <n v="328.82"/>
    <n v="30.42"/>
    <s v="UPI"/>
    <n v="7.5"/>
  </r>
  <r>
    <s v="INV00441"/>
    <n v="46199"/>
    <s v="15:19"/>
    <x v="0"/>
    <s v="Hyderabad"/>
    <s v="Normal"/>
    <s v="Male"/>
    <x v="4"/>
    <n v="225.7"/>
    <n v="3"/>
    <n v="33.85"/>
    <n v="710.95"/>
    <n v="557.70000000000005"/>
    <n v="153.25"/>
    <n v="21.56"/>
    <s v="UPI"/>
    <n v="6.7"/>
  </r>
  <r>
    <s v="INV00010"/>
    <n v="46200"/>
    <s v="17:07"/>
    <x v="1"/>
    <s v="Warangal"/>
    <s v="Member"/>
    <s v="Male"/>
    <x v="2"/>
    <n v="69.84"/>
    <n v="10"/>
    <n v="34.92"/>
    <n v="733.32"/>
    <n v="540.59"/>
    <n v="192.73"/>
    <n v="26.28"/>
    <s v="Credit Card"/>
    <n v="6.5"/>
  </r>
  <r>
    <s v="INV00018"/>
    <n v="46200"/>
    <s v="20:36"/>
    <x v="2"/>
    <s v="Hyderabad"/>
    <s v="Normal"/>
    <s v="Male"/>
    <x v="2"/>
    <n v="84.85"/>
    <n v="6"/>
    <n v="25.46"/>
    <n v="534.55999999999995"/>
    <n v="394.8"/>
    <n v="139.76"/>
    <n v="26.14"/>
    <s v="Credit Card"/>
    <n v="8"/>
  </r>
  <r>
    <s v="INV00140"/>
    <n v="46201"/>
    <s v="10:29"/>
    <x v="4"/>
    <s v="Vijayawada"/>
    <s v="Normal"/>
    <s v="Male"/>
    <x v="3"/>
    <n v="384.23"/>
    <n v="5"/>
    <n v="96.06"/>
    <n v="2017.21"/>
    <n v="1528.63"/>
    <n v="488.58"/>
    <n v="24.22"/>
    <s v="Wallet"/>
    <n v="7.8"/>
  </r>
  <r>
    <s v="INV00184"/>
    <n v="46201"/>
    <s v="14:57"/>
    <x v="4"/>
    <s v="Vijayawada"/>
    <s v="Normal"/>
    <s v="Female"/>
    <x v="5"/>
    <n v="70.459999999999994"/>
    <n v="7"/>
    <n v="24.66"/>
    <n v="517.88"/>
    <n v="393.91"/>
    <n v="123.97"/>
    <n v="23.94"/>
    <s v="Debit Card"/>
    <n v="7.2"/>
  </r>
  <r>
    <s v="INV00246"/>
    <n v="46201"/>
    <s v="10:05"/>
    <x v="4"/>
    <s v="Vijayawada"/>
    <s v="Normal"/>
    <s v="Female"/>
    <x v="0"/>
    <n v="114.82"/>
    <n v="6"/>
    <n v="34.450000000000003"/>
    <n v="723.37"/>
    <n v="592.41999999999996"/>
    <n v="130.94999999999999"/>
    <n v="18.100000000000001"/>
    <s v="Debit Card"/>
    <n v="10"/>
  </r>
  <r>
    <s v="INV00382"/>
    <n v="46201"/>
    <s v="12:21"/>
    <x v="1"/>
    <s v="Warangal"/>
    <s v="Member"/>
    <s v="Female"/>
    <x v="5"/>
    <n v="97.05"/>
    <n v="1"/>
    <n v="4.8499999999999996"/>
    <n v="101.9"/>
    <n v="68.900000000000006"/>
    <n v="33"/>
    <n v="32.380000000000003"/>
    <s v="UPI"/>
    <n v="7.8"/>
  </r>
  <r>
    <s v="INV00095"/>
    <n v="46202"/>
    <s v="10:35"/>
    <x v="1"/>
    <s v="Warangal"/>
    <s v="Member"/>
    <s v="Male"/>
    <x v="0"/>
    <n v="154.37"/>
    <n v="6"/>
    <n v="46.31"/>
    <n v="972.53"/>
    <n v="692.97"/>
    <n v="279.56"/>
    <n v="28.75"/>
    <s v="Wallet"/>
    <n v="7.9"/>
  </r>
  <r>
    <s v="INV00320"/>
    <n v="46202"/>
    <s v="16:55"/>
    <x v="3"/>
    <s v="Secunderabad"/>
    <s v="Member"/>
    <s v="Female"/>
    <x v="3"/>
    <n v="445.88"/>
    <n v="8"/>
    <n v="178.35"/>
    <n v="3745.39"/>
    <n v="2541.7399999999998"/>
    <n v="1203.6500000000001"/>
    <n v="32.14"/>
    <s v="UPI"/>
    <n v="7.6"/>
  </r>
  <r>
    <s v="INV00055"/>
    <n v="46203"/>
    <s v="14:39"/>
    <x v="2"/>
    <s v="Hyderabad"/>
    <s v="Normal"/>
    <s v="Male"/>
    <x v="0"/>
    <n v="153.49"/>
    <n v="4"/>
    <n v="30.7"/>
    <n v="644.66"/>
    <n v="471.05"/>
    <n v="173.61"/>
    <n v="26.93"/>
    <s v="UPI"/>
    <n v="6.9"/>
  </r>
  <r>
    <s v="INV00099"/>
    <n v="46204"/>
    <s v="13:47"/>
    <x v="0"/>
    <s v="Hyderabad"/>
    <s v="Normal"/>
    <s v="Female"/>
    <x v="4"/>
    <n v="236.24"/>
    <n v="3"/>
    <n v="35.44"/>
    <n v="744.16"/>
    <n v="621.91999999999996"/>
    <n v="122.24"/>
    <n v="16.43"/>
    <s v="Wallet"/>
    <n v="8"/>
  </r>
  <r>
    <s v="INV00454"/>
    <n v="46204"/>
    <s v="16:20"/>
    <x v="4"/>
    <s v="Vijayawada"/>
    <s v="Normal"/>
    <s v="Female"/>
    <x v="0"/>
    <n v="72.989999999999995"/>
    <n v="3"/>
    <n v="10.95"/>
    <n v="229.92"/>
    <n v="173.49"/>
    <n v="56.43"/>
    <n v="24.54"/>
    <s v="UPI"/>
    <n v="7.4"/>
  </r>
  <r>
    <s v="INV00288"/>
    <n v="46205"/>
    <s v="15:12"/>
    <x v="2"/>
    <s v="Hyderabad"/>
    <s v="Member"/>
    <s v="Female"/>
    <x v="3"/>
    <n v="244.57"/>
    <n v="8"/>
    <n v="97.83"/>
    <n v="2054.39"/>
    <n v="1515.68"/>
    <n v="538.71"/>
    <n v="26.22"/>
    <s v="UPI"/>
    <n v="7.4"/>
  </r>
  <r>
    <s v="INV00311"/>
    <n v="46205"/>
    <s v="16:09"/>
    <x v="2"/>
    <s v="Hyderabad"/>
    <s v="Member"/>
    <s v="Male"/>
    <x v="0"/>
    <n v="141.41999999999999"/>
    <n v="4"/>
    <n v="28.28"/>
    <n v="593.96"/>
    <n v="480.78"/>
    <n v="113.18"/>
    <n v="19.059999999999999"/>
    <s v="UPI"/>
    <n v="6.4"/>
  </r>
  <r>
    <s v="INV00345"/>
    <n v="46205"/>
    <s v="09:48"/>
    <x v="3"/>
    <s v="Secunderabad"/>
    <s v="Normal"/>
    <s v="Female"/>
    <x v="1"/>
    <n v="110.82"/>
    <n v="2"/>
    <n v="11.08"/>
    <n v="232.72"/>
    <n v="184.69"/>
    <n v="48.03"/>
    <n v="20.64"/>
    <s v="UPI"/>
    <n v="6.7"/>
  </r>
  <r>
    <s v="INV00464"/>
    <n v="46205"/>
    <s v="18:45"/>
    <x v="2"/>
    <s v="Hyderabad"/>
    <s v="Normal"/>
    <s v="Female"/>
    <x v="3"/>
    <n v="303.17"/>
    <n v="9"/>
    <n v="136.43"/>
    <n v="2864.96"/>
    <n v="2329.5300000000002"/>
    <n v="535.42999999999995"/>
    <n v="18.690000000000001"/>
    <s v="Wallet"/>
    <n v="9.1"/>
  </r>
  <r>
    <s v="INV00214"/>
    <n v="46206"/>
    <s v="15:18"/>
    <x v="0"/>
    <s v="Hyderabad"/>
    <s v="Normal"/>
    <s v="Female"/>
    <x v="6"/>
    <n v="204.52"/>
    <n v="7"/>
    <n v="71.58"/>
    <n v="1503.22"/>
    <n v="1194.33"/>
    <n v="308.89"/>
    <n v="20.55"/>
    <s v="Credit Card"/>
    <n v="7.6"/>
  </r>
  <r>
    <s v="INV00307"/>
    <n v="46206"/>
    <s v="16:57"/>
    <x v="2"/>
    <s v="Hyderabad"/>
    <s v="Normal"/>
    <s v="Female"/>
    <x v="0"/>
    <n v="117.49"/>
    <n v="3"/>
    <n v="17.62"/>
    <n v="370.09"/>
    <n v="275.99"/>
    <n v="94.1"/>
    <n v="25.43"/>
    <s v="Credit Card"/>
    <n v="8.6999999999999993"/>
  </r>
  <r>
    <s v="INV00130"/>
    <n v="46207"/>
    <s v="21:19"/>
    <x v="2"/>
    <s v="Hyderabad"/>
    <s v="Member"/>
    <s v="Female"/>
    <x v="4"/>
    <n v="270.63"/>
    <n v="9"/>
    <n v="121.78"/>
    <n v="2557.4499999999998"/>
    <n v="2018.28"/>
    <n v="539.16999999999996"/>
    <n v="21.08"/>
    <s v="Debit Card"/>
    <n v="7.2"/>
  </r>
  <r>
    <s v="INV00244"/>
    <n v="46207"/>
    <s v="13:57"/>
    <x v="3"/>
    <s v="Secunderabad"/>
    <s v="Normal"/>
    <s v="Female"/>
    <x v="6"/>
    <n v="177.46"/>
    <n v="5"/>
    <n v="44.37"/>
    <n v="931.67"/>
    <n v="663.28"/>
    <n v="268.39"/>
    <n v="28.81"/>
    <s v="UPI"/>
    <n v="8"/>
  </r>
  <r>
    <s v="INV00059"/>
    <n v="46208"/>
    <s v="18:16"/>
    <x v="0"/>
    <s v="Hyderabad"/>
    <s v="Member"/>
    <s v="Male"/>
    <x v="2"/>
    <n v="51.87"/>
    <n v="5"/>
    <n v="12.97"/>
    <n v="272.32"/>
    <n v="223.73"/>
    <n v="48.59"/>
    <n v="17.84"/>
    <s v="UPI"/>
    <n v="6.6"/>
  </r>
  <r>
    <s v="INV00108"/>
    <n v="46208"/>
    <s v="14:26"/>
    <x v="1"/>
    <s v="Warangal"/>
    <s v="Normal"/>
    <s v="Female"/>
    <x v="3"/>
    <n v="225.01"/>
    <n v="3"/>
    <n v="33.75"/>
    <n v="708.78"/>
    <n v="538.95000000000005"/>
    <n v="169.83"/>
    <n v="23.96"/>
    <s v="Credit Card"/>
    <n v="7.8"/>
  </r>
  <r>
    <s v="INV00144"/>
    <n v="46208"/>
    <s v="12:15"/>
    <x v="3"/>
    <s v="Secunderabad"/>
    <s v="Normal"/>
    <s v="Male"/>
    <x v="3"/>
    <n v="244.5"/>
    <n v="3"/>
    <n v="36.68"/>
    <n v="770.18"/>
    <n v="577.4"/>
    <n v="192.78"/>
    <n v="25.03"/>
    <s v="UPI"/>
    <n v="6.6"/>
  </r>
  <r>
    <s v="INV00031"/>
    <n v="46209"/>
    <s v="10:19"/>
    <x v="2"/>
    <s v="Hyderabad"/>
    <s v="Member"/>
    <s v="Male"/>
    <x v="2"/>
    <n v="59.75"/>
    <n v="3"/>
    <n v="8.9600000000000009"/>
    <n v="188.21"/>
    <n v="138.66"/>
    <n v="49.55"/>
    <n v="26.33"/>
    <s v="UPI"/>
    <n v="7.9"/>
  </r>
  <r>
    <s v="INV00111"/>
    <n v="46209"/>
    <s v="11:46"/>
    <x v="3"/>
    <s v="Secunderabad"/>
    <s v="Normal"/>
    <s v="Male"/>
    <x v="1"/>
    <n v="95.61"/>
    <n v="7"/>
    <n v="33.46"/>
    <n v="702.73"/>
    <n v="582.35"/>
    <n v="120.38"/>
    <n v="17.13"/>
    <s v="Cash"/>
    <n v="6.7"/>
  </r>
  <r>
    <s v="INV00154"/>
    <n v="46209"/>
    <s v="14:58"/>
    <x v="2"/>
    <s v="Hyderabad"/>
    <s v="Normal"/>
    <s v="Male"/>
    <x v="2"/>
    <n v="62.93"/>
    <n v="5"/>
    <n v="15.73"/>
    <n v="330.38"/>
    <n v="262.33999999999997"/>
    <n v="68.040000000000006"/>
    <n v="20.59"/>
    <s v="UPI"/>
    <n v="7.3"/>
  </r>
  <r>
    <s v="INV00315"/>
    <n v="46209"/>
    <s v="21:17"/>
    <x v="4"/>
    <s v="Vijayawada"/>
    <s v="Member"/>
    <s v="Male"/>
    <x v="2"/>
    <n v="68.06"/>
    <n v="8"/>
    <n v="27.22"/>
    <n v="571.70000000000005"/>
    <n v="471.8"/>
    <n v="99.9"/>
    <n v="17.47"/>
    <s v="UPI"/>
    <n v="6.6"/>
  </r>
  <r>
    <s v="INV00221"/>
    <n v="46210"/>
    <s v="11:00"/>
    <x v="1"/>
    <s v="Warangal"/>
    <s v="Normal"/>
    <s v="Female"/>
    <x v="0"/>
    <n v="91.54"/>
    <n v="6"/>
    <n v="27.46"/>
    <n v="576.70000000000005"/>
    <n v="427.09"/>
    <n v="149.61000000000001"/>
    <n v="25.94"/>
    <s v="UPI"/>
    <n v="9.1999999999999993"/>
  </r>
  <r>
    <s v="INV00242"/>
    <n v="46210"/>
    <s v="17:19"/>
    <x v="4"/>
    <s v="Vijayawada"/>
    <s v="Normal"/>
    <s v="Female"/>
    <x v="3"/>
    <n v="260.02999999999997"/>
    <n v="4"/>
    <n v="52.01"/>
    <n v="1092.1300000000001"/>
    <n v="768.75"/>
    <n v="323.38"/>
    <n v="29.61"/>
    <s v="UPI"/>
    <n v="7.6"/>
  </r>
  <r>
    <s v="INV00314"/>
    <n v="46210"/>
    <s v="12:36"/>
    <x v="4"/>
    <s v="Vijayawada"/>
    <s v="Normal"/>
    <s v="Male"/>
    <x v="0"/>
    <n v="77.92"/>
    <n v="2"/>
    <n v="7.79"/>
    <n v="163.63"/>
    <n v="112.18"/>
    <n v="51.45"/>
    <n v="31.44"/>
    <s v="Credit Card"/>
    <n v="7.1"/>
  </r>
  <r>
    <s v="INV00340"/>
    <n v="46210"/>
    <s v="16:51"/>
    <x v="0"/>
    <s v="Hyderabad"/>
    <s v="Member"/>
    <s v="Male"/>
    <x v="5"/>
    <n v="97.69"/>
    <n v="9"/>
    <n v="43.96"/>
    <n v="923.17"/>
    <n v="754.97"/>
    <n v="168.2"/>
    <n v="18.22"/>
    <s v="Credit Card"/>
    <n v="7.6"/>
  </r>
  <r>
    <s v="INV00484"/>
    <n v="46210"/>
    <s v="18:22"/>
    <x v="2"/>
    <s v="Hyderabad"/>
    <s v="Member"/>
    <s v="Male"/>
    <x v="1"/>
    <n v="205.35"/>
    <n v="2"/>
    <n v="20.54"/>
    <n v="431.24"/>
    <n v="326.08"/>
    <n v="105.16"/>
    <n v="24.39"/>
    <s v="Cash"/>
    <n v="7.6"/>
  </r>
  <r>
    <s v="INV00012"/>
    <n v="46211"/>
    <s v="17:29"/>
    <x v="4"/>
    <s v="Vijayawada"/>
    <s v="Normal"/>
    <s v="Female"/>
    <x v="6"/>
    <n v="209.33"/>
    <n v="2"/>
    <n v="20.93"/>
    <n v="439.59"/>
    <n v="341.14"/>
    <n v="98.45"/>
    <n v="22.4"/>
    <s v="Cash"/>
    <n v="7.2"/>
  </r>
  <r>
    <s v="INV00091"/>
    <n v="46212"/>
    <s v="20:22"/>
    <x v="0"/>
    <s v="Hyderabad"/>
    <s v="Normal"/>
    <s v="Female"/>
    <x v="1"/>
    <n v="181.39"/>
    <n v="3"/>
    <n v="27.21"/>
    <n v="571.38"/>
    <n v="401.67"/>
    <n v="169.71"/>
    <n v="29.7"/>
    <s v="Credit Card"/>
    <n v="9.6999999999999993"/>
  </r>
  <r>
    <s v="INV00235"/>
    <n v="46212"/>
    <s v="21:03"/>
    <x v="0"/>
    <s v="Hyderabad"/>
    <s v="Normal"/>
    <s v="Female"/>
    <x v="3"/>
    <n v="326.44"/>
    <n v="9"/>
    <n v="146.9"/>
    <n v="3084.86"/>
    <n v="2491.09"/>
    <n v="593.77"/>
    <n v="19.25"/>
    <s v="UPI"/>
    <n v="7.4"/>
  </r>
  <r>
    <s v="INV00436"/>
    <n v="46212"/>
    <s v="20:13"/>
    <x v="1"/>
    <s v="Warangal"/>
    <s v="Member"/>
    <s v="Male"/>
    <x v="4"/>
    <n v="139.75"/>
    <n v="4"/>
    <n v="27.95"/>
    <n v="586.95000000000005"/>
    <n v="392.89"/>
    <n v="194.06"/>
    <n v="33.06"/>
    <s v="Wallet"/>
    <n v="9"/>
  </r>
  <r>
    <s v="INV00491"/>
    <n v="46213"/>
    <s v="18:18"/>
    <x v="2"/>
    <s v="Hyderabad"/>
    <s v="Member"/>
    <s v="Male"/>
    <x v="2"/>
    <n v="65.98"/>
    <n v="8"/>
    <n v="26.39"/>
    <n v="554.23"/>
    <n v="391.54"/>
    <n v="162.69"/>
    <n v="29.35"/>
    <s v="Cash"/>
    <n v="7.2"/>
  </r>
  <r>
    <s v="INV00430"/>
    <n v="46214"/>
    <s v="18:10"/>
    <x v="0"/>
    <s v="Hyderabad"/>
    <s v="Normal"/>
    <s v="Female"/>
    <x v="4"/>
    <n v="223.16"/>
    <n v="6"/>
    <n v="66.95"/>
    <n v="1405.91"/>
    <n v="985.29"/>
    <n v="420.62"/>
    <n v="29.92"/>
    <s v="Credit Card"/>
    <n v="8"/>
  </r>
  <r>
    <s v="INV00301"/>
    <n v="46215"/>
    <s v="10:31"/>
    <x v="0"/>
    <s v="Hyderabad"/>
    <s v="Member"/>
    <s v="Female"/>
    <x v="5"/>
    <n v="74.319999999999993"/>
    <n v="3"/>
    <n v="11.15"/>
    <n v="234.11"/>
    <n v="180.9"/>
    <n v="53.21"/>
    <n v="22.73"/>
    <s v="Credit Card"/>
    <n v="5.4"/>
  </r>
  <r>
    <s v="INV00124"/>
    <n v="46216"/>
    <s v="21:24"/>
    <x v="0"/>
    <s v="Hyderabad"/>
    <s v="Normal"/>
    <s v="Male"/>
    <x v="6"/>
    <n v="183.88"/>
    <n v="10"/>
    <n v="91.94"/>
    <n v="1930.74"/>
    <n v="1489.5"/>
    <n v="441.24"/>
    <n v="22.85"/>
    <s v="Cash"/>
    <n v="7.3"/>
  </r>
  <r>
    <s v="INV00410"/>
    <n v="46216"/>
    <s v="15:45"/>
    <x v="0"/>
    <s v="Hyderabad"/>
    <s v="Normal"/>
    <s v="Male"/>
    <x v="3"/>
    <m/>
    <n v="3"/>
    <n v="56.44"/>
    <n v="1185.28"/>
    <n v="915.6"/>
    <n v="269.68"/>
    <n v="22.75"/>
    <s v="Cash"/>
    <n v="5.2"/>
  </r>
  <r>
    <s v="INV00186"/>
    <n v="46217"/>
    <s v="09:51"/>
    <x v="1"/>
    <s v="Warangal"/>
    <s v="Normal"/>
    <s v="Female"/>
    <x v="7"/>
    <n v="91.35"/>
    <n v="8"/>
    <n v="36.54"/>
    <n v="767.34"/>
    <n v="557.63"/>
    <n v="209.71"/>
    <n v="27.33"/>
    <s v="Cash"/>
    <n v="10"/>
  </r>
  <r>
    <s v="INV00192"/>
    <n v="46217"/>
    <s v="11:55"/>
    <x v="4"/>
    <s v="Vijayawada"/>
    <s v="Normal"/>
    <s v="Female"/>
    <x v="6"/>
    <n v="200.42"/>
    <n v="9"/>
    <n v="90.19"/>
    <n v="1893.97"/>
    <n v="1388.17"/>
    <n v="505.8"/>
    <n v="26.71"/>
    <s v="UPI"/>
    <n v="6.9"/>
  </r>
  <r>
    <s v="INV00118"/>
    <n v="46218"/>
    <s v="10:14"/>
    <x v="0"/>
    <s v="Hyderabad"/>
    <s v="Normal"/>
    <s v="Female"/>
    <x v="4"/>
    <n v="230.35"/>
    <n v="2"/>
    <n v="23.04"/>
    <n v="483.74"/>
    <n v="331.97"/>
    <n v="151.77000000000001"/>
    <n v="31.37"/>
    <s v="UPI"/>
    <n v="7.8"/>
  </r>
  <r>
    <s v="INV00148"/>
    <n v="46219"/>
    <s v="18:56"/>
    <x v="2"/>
    <s v="Hyderabad"/>
    <s v="Normal"/>
    <s v="Male"/>
    <x v="5"/>
    <n v="53.63"/>
    <n v="7"/>
    <n v="18.77"/>
    <n v="394.18"/>
    <n v="263.83"/>
    <n v="130.35"/>
    <n v="33.07"/>
    <s v="UPI"/>
    <n v="8.1"/>
  </r>
  <r>
    <s v="INV00150"/>
    <n v="46219"/>
    <s v="19:35"/>
    <x v="3"/>
    <s v="Secunderabad"/>
    <s v="Normal"/>
    <s v="Male"/>
    <x v="6"/>
    <n v="214.51"/>
    <n v="7"/>
    <n v="75.08"/>
    <n v="1576.65"/>
    <n v="1107.31"/>
    <n v="469.34"/>
    <n v="29.77"/>
    <s v="Cash"/>
    <n v="6.8"/>
  </r>
  <r>
    <s v="INV00231"/>
    <n v="46219"/>
    <s v="15:06"/>
    <x v="4"/>
    <s v="Vijayawada"/>
    <s v="Normal"/>
    <s v="Female"/>
    <x v="4"/>
    <n v="182.83"/>
    <n v="7"/>
    <n v="63.99"/>
    <n v="1343.8"/>
    <n v="1046.69"/>
    <n v="297.11"/>
    <n v="22.11"/>
    <s v="UPI"/>
    <n v="7.2"/>
  </r>
  <r>
    <s v="INV00271"/>
    <n v="46219"/>
    <s v="09:13"/>
    <x v="4"/>
    <s v="Vijayawada"/>
    <s v="Normal"/>
    <s v="Male"/>
    <x v="1"/>
    <n v="174.58"/>
    <n v="4"/>
    <n v="34.92"/>
    <n v="733.24"/>
    <n v="528.80999999999995"/>
    <n v="204.43"/>
    <n v="27.88"/>
    <s v="Wallet"/>
    <n v="5.8"/>
  </r>
  <r>
    <s v="INV00056"/>
    <n v="46221"/>
    <s v="11:07"/>
    <x v="4"/>
    <s v="Vijayawada"/>
    <s v="Member"/>
    <s v="Male"/>
    <x v="3"/>
    <n v="309.64"/>
    <n v="3"/>
    <n v="46.45"/>
    <n v="975.37"/>
    <n v="695.64"/>
    <n v="279.73"/>
    <n v="28.68"/>
    <s v="Cash"/>
    <n v="5.0999999999999996"/>
  </r>
  <r>
    <s v="INV00159"/>
    <n v="46221"/>
    <s v="12:17"/>
    <x v="0"/>
    <s v="Hyderabad"/>
    <s v="Normal"/>
    <s v="Female"/>
    <x v="5"/>
    <n v="115.23"/>
    <n v="2"/>
    <n v="11.52"/>
    <n v="241.98"/>
    <n v="182.62"/>
    <n v="59.36"/>
    <n v="24.53"/>
    <s v="UPI"/>
    <n v="8.5"/>
  </r>
  <r>
    <s v="INV00067"/>
    <n v="46222"/>
    <s v="17:54"/>
    <x v="0"/>
    <s v="Hyderabad"/>
    <s v="Member"/>
    <s v="Male"/>
    <x v="3"/>
    <n v="278.33"/>
    <n v="1"/>
    <n v="13.92"/>
    <n v="292.25"/>
    <n v="217.97"/>
    <n v="74.28"/>
    <n v="25.42"/>
    <s v="UPI"/>
    <n v="5.9"/>
  </r>
  <r>
    <s v="INV00213"/>
    <n v="46222"/>
    <s v="11:55"/>
    <x v="1"/>
    <s v="Warangal"/>
    <s v="Member"/>
    <s v="Female"/>
    <x v="6"/>
    <n v="212.51"/>
    <n v="5"/>
    <n v="53.13"/>
    <n v="1115.68"/>
    <n v="882.32"/>
    <n v="233.36"/>
    <n v="20.92"/>
    <s v="Cash"/>
    <n v="4"/>
  </r>
  <r>
    <s v="INV00011"/>
    <n v="46223"/>
    <s v="11:47"/>
    <x v="0"/>
    <s v="Hyderabad"/>
    <s v="Member"/>
    <s v="Female"/>
    <x v="7"/>
    <n v="120.56"/>
    <n v="1"/>
    <n v="6.03"/>
    <n v="126.59"/>
    <n v="103.35"/>
    <n v="23.24"/>
    <n v="18.36"/>
    <s v="Credit Card"/>
    <n v="10"/>
  </r>
  <r>
    <s v="INV00078"/>
    <n v="46224"/>
    <s v="11:19"/>
    <x v="0"/>
    <s v="Hyderabad"/>
    <s v="Normal"/>
    <s v="Male"/>
    <x v="0"/>
    <n v="71.64"/>
    <n v="4"/>
    <n v="14.33"/>
    <n v="300.89"/>
    <n v="245.1"/>
    <n v="55.79"/>
    <n v="18.54"/>
    <s v="Wallet"/>
    <n v="6.9"/>
  </r>
  <r>
    <s v="INV00279"/>
    <n v="46224"/>
    <s v="11:46"/>
    <x v="1"/>
    <s v="Warangal"/>
    <s v="Member"/>
    <s v="Female"/>
    <x v="2"/>
    <n v="46"/>
    <n v="3"/>
    <n v="6.9"/>
    <n v="144.9"/>
    <n v="96.99"/>
    <n v="47.91"/>
    <n v="33.06"/>
    <s v="UPI"/>
    <n v="5.8"/>
  </r>
  <r>
    <s v="INV00047"/>
    <n v="46225"/>
    <s v="17:43"/>
    <x v="3"/>
    <s v="Secunderabad"/>
    <s v="Member"/>
    <s v="Female"/>
    <x v="1"/>
    <n v="119.66"/>
    <n v="3"/>
    <n v="17.95"/>
    <n v="376.93"/>
    <n v="299.27"/>
    <n v="77.66"/>
    <n v="20.6"/>
    <s v="Debit Card"/>
    <n v="6.2"/>
  </r>
  <r>
    <s v="INV00289"/>
    <n v="46225"/>
    <s v="17:22"/>
    <x v="3"/>
    <s v="Secunderabad"/>
    <s v="Member"/>
    <s v="Female"/>
    <x v="6"/>
    <n v="231.76"/>
    <n v="10"/>
    <n v="115.88"/>
    <n v="2433.48"/>
    <n v="1790.16"/>
    <n v="643.32000000000005"/>
    <n v="26.44"/>
    <s v="UPI"/>
    <n v="5.8"/>
  </r>
  <r>
    <s v="INV00285"/>
    <n v="46227"/>
    <s v="19:49"/>
    <x v="2"/>
    <s v="Hyderabad"/>
    <s v="Member"/>
    <s v="Male"/>
    <x v="4"/>
    <n v="260.45999999999998"/>
    <n v="3"/>
    <n v="39.07"/>
    <n v="820.45"/>
    <n v="618.92999999999995"/>
    <n v="201.52"/>
    <n v="24.56"/>
    <s v="Debit Card"/>
    <n v="8.6"/>
  </r>
  <r>
    <s v="INV00168"/>
    <n v="46229"/>
    <s v="16:55"/>
    <x v="0"/>
    <s v="Hyderabad"/>
    <s v="Member"/>
    <s v="Male"/>
    <x v="4"/>
    <n v="143.05000000000001"/>
    <n v="3"/>
    <n v="21.46"/>
    <n v="450.61"/>
    <n v="354.99"/>
    <n v="95.62"/>
    <n v="21.22"/>
    <s v="Debit Card"/>
    <n v="6.6"/>
  </r>
  <r>
    <s v="INV00368"/>
    <n v="46229"/>
    <s v="12:39"/>
    <x v="4"/>
    <s v="Vijayawada"/>
    <s v="Normal"/>
    <s v="Female"/>
    <x v="4"/>
    <n v="181.93"/>
    <n v="8"/>
    <n v="72.77"/>
    <n v="1528.21"/>
    <n v="1265.27"/>
    <n v="262.94"/>
    <n v="17.21"/>
    <s v="Debit Card"/>
    <n v="9.1"/>
  </r>
  <r>
    <s v="INV00211"/>
    <n v="46230"/>
    <s v="15:24"/>
    <x v="2"/>
    <s v="Hyderabad"/>
    <s v="Member"/>
    <s v="Male"/>
    <x v="2"/>
    <n v="101.16"/>
    <n v="4"/>
    <n v="20.23"/>
    <n v="424.87"/>
    <n v="346"/>
    <n v="78.87"/>
    <n v="18.559999999999999"/>
    <s v="UPI"/>
    <n v="7.9"/>
  </r>
  <r>
    <s v="INV00264"/>
    <n v="46230"/>
    <s v="21:33"/>
    <x v="2"/>
    <s v="Hyderabad"/>
    <s v="Member"/>
    <s v="Female"/>
    <x v="2"/>
    <n v="74.08"/>
    <n v="1"/>
    <n v="3.7"/>
    <n v="77.78"/>
    <n v="64.3"/>
    <n v="13.48"/>
    <n v="17.329999999999998"/>
    <s v="UPI"/>
    <n v="6.3"/>
  </r>
  <r>
    <s v="INV00220"/>
    <n v="46231"/>
    <s v="13:00"/>
    <x v="4"/>
    <s v="Vijayawada"/>
    <s v="Member"/>
    <s v="Female"/>
    <x v="2"/>
    <n v="75.91"/>
    <n v="9"/>
    <n v="34.159999999999997"/>
    <n v="717.35"/>
    <n v="596.1"/>
    <n v="121.25"/>
    <n v="16.899999999999999"/>
    <s v="UPI"/>
    <n v="7.3"/>
  </r>
  <r>
    <s v="INV00498"/>
    <n v="46231"/>
    <s v="13:56"/>
    <x v="0"/>
    <s v="Hyderabad"/>
    <s v="Member"/>
    <s v="Male"/>
    <x v="1"/>
    <n v="111.3"/>
    <n v="8"/>
    <n v="44.52"/>
    <n v="934.92"/>
    <n v="774.68"/>
    <n v="160.24"/>
    <n v="17.14"/>
    <s v="Cash"/>
    <n v="8.5"/>
  </r>
  <r>
    <s v="INV00104"/>
    <n v="46232"/>
    <s v="16:51"/>
    <x v="2"/>
    <s v="Hyderabad"/>
    <s v="Normal"/>
    <s v="Female"/>
    <x v="1"/>
    <n v="195.6"/>
    <n v="3"/>
    <n v="29.34"/>
    <n v="616.14"/>
    <n v="454.26"/>
    <n v="161.88"/>
    <n v="26.27"/>
    <s v="Cash"/>
    <n v="9.3000000000000007"/>
  </r>
  <r>
    <s v="INV00117"/>
    <n v="46232"/>
    <s v="21:00"/>
    <x v="4"/>
    <s v="Vijayawada"/>
    <s v="Member"/>
    <s v="Male"/>
    <x v="1"/>
    <n v="108.52"/>
    <n v="5"/>
    <n v="27.13"/>
    <n v="569.73"/>
    <n v="429.85"/>
    <n v="139.88"/>
    <n v="24.55"/>
    <s v="UPI"/>
    <n v="7.3"/>
  </r>
  <r>
    <s v="INV00377"/>
    <n v="46232"/>
    <s v="20:39"/>
    <x v="4"/>
    <s v="Vijayawada"/>
    <s v="Member"/>
    <s v="Female"/>
    <x v="5"/>
    <n v="57.71"/>
    <n v="5"/>
    <n v="14.43"/>
    <n v="302.98"/>
    <n v="230.65"/>
    <n v="72.33"/>
    <n v="23.87"/>
    <s v="Debit Card"/>
    <n v="6.1"/>
  </r>
  <r>
    <s v="INV00016"/>
    <n v="46233"/>
    <s v="21:35"/>
    <x v="0"/>
    <s v="Hyderabad"/>
    <s v="Normal"/>
    <s v="Female"/>
    <x v="1"/>
    <n v="167.48"/>
    <n v="9"/>
    <n v="75.37"/>
    <n v="1582.69"/>
    <n v="1094.3"/>
    <n v="488.39"/>
    <n v="30.86"/>
    <s v="UPI"/>
    <n v="10"/>
  </r>
  <r>
    <s v="INV00451"/>
    <n v="46233"/>
    <s v="10:37"/>
    <x v="1"/>
    <s v="Warangal"/>
    <s v="Member"/>
    <s v="Female"/>
    <x v="7"/>
    <n v="101.37"/>
    <n v="2"/>
    <n v="10.14"/>
    <n v="212.88"/>
    <n v="171.76"/>
    <n v="41.12"/>
    <n v="19.32"/>
    <s v="Wallet"/>
    <n v="7.6"/>
  </r>
  <r>
    <s v="INV00254"/>
    <n v="46234"/>
    <s v="15:26"/>
    <x v="3"/>
    <s v="Secunderabad"/>
    <s v="Member"/>
    <s v="Male"/>
    <x v="3"/>
    <n v="452.75"/>
    <n v="8"/>
    <n v="181.1"/>
    <n v="3803.1"/>
    <n v="3015.39"/>
    <n v="787.71"/>
    <n v="20.71"/>
    <s v="UPI"/>
    <n v="7.5"/>
  </r>
  <r>
    <s v="INV00305"/>
    <n v="46236"/>
    <s v="09:52"/>
    <x v="1"/>
    <s v="Warangal"/>
    <s v="Normal"/>
    <s v="Female"/>
    <x v="6"/>
    <n v="130.94999999999999"/>
    <n v="6"/>
    <n v="39.28"/>
    <n v="824.98"/>
    <n v="619.88"/>
    <n v="205.1"/>
    <n v="24.86"/>
    <s v="Cash"/>
    <n v="6"/>
  </r>
  <r>
    <s v="INV00346"/>
    <n v="46236"/>
    <s v="17:09"/>
    <x v="2"/>
    <s v="Hyderabad"/>
    <s v="Member"/>
    <s v="Female"/>
    <x v="6"/>
    <n v="235"/>
    <n v="9"/>
    <n v="105.75"/>
    <n v="2220.75"/>
    <n v="1516.63"/>
    <n v="704.12"/>
    <n v="31.71"/>
    <s v="Cash"/>
    <n v="7.6"/>
  </r>
  <r>
    <s v="INV00149"/>
    <n v="46237"/>
    <s v="10:08"/>
    <x v="0"/>
    <s v="Hyderabad"/>
    <s v="Normal"/>
    <s v="Male"/>
    <x v="2"/>
    <n v="81.67"/>
    <n v="7"/>
    <n v="28.58"/>
    <n v="600.27"/>
    <n v="429.09"/>
    <n v="171.18"/>
    <n v="28.52"/>
    <s v="UPI"/>
    <n v="7.7"/>
  </r>
  <r>
    <s v="INV00122"/>
    <n v="46238"/>
    <s v="14:06"/>
    <x v="4"/>
    <s v="Vijayawada"/>
    <s v="Normal"/>
    <s v="Male"/>
    <x v="4"/>
    <n v="278.56"/>
    <n v="1"/>
    <n v="13.93"/>
    <n v="292.49"/>
    <n v="242.7"/>
    <n v="49.79"/>
    <n v="17.02"/>
    <s v="UPI"/>
    <n v="6.6"/>
  </r>
  <r>
    <s v="INV00299"/>
    <n v="46238"/>
    <s v="09:23"/>
    <x v="2"/>
    <s v="Hyderabad"/>
    <s v="Normal"/>
    <s v="Female"/>
    <x v="5"/>
    <n v="78.05"/>
    <n v="1"/>
    <n v="3.9"/>
    <n v="81.95"/>
    <n v="59.96"/>
    <n v="21.99"/>
    <n v="26.83"/>
    <s v="Credit Card"/>
    <n v="8.1"/>
  </r>
  <r>
    <s v="INV00216"/>
    <n v="46239"/>
    <s v="10:34"/>
    <x v="0"/>
    <s v="Hyderabad"/>
    <s v="Member"/>
    <s v="Female"/>
    <x v="0"/>
    <n v="89.22"/>
    <n v="2"/>
    <n v="8.92"/>
    <n v="187.36"/>
    <n v="143.69"/>
    <n v="43.67"/>
    <n v="23.31"/>
    <s v="Debit Card"/>
    <n v="5.6"/>
  </r>
  <r>
    <s v="INV00005"/>
    <n v="46240"/>
    <s v="10:46"/>
    <x v="0"/>
    <s v="Hyderabad"/>
    <s v="Normal"/>
    <s v="Male"/>
    <x v="5"/>
    <n v="108.25"/>
    <n v="8"/>
    <n v="43.3"/>
    <n v="909.3"/>
    <n v="741.07"/>
    <n v="168.23"/>
    <n v="18.5"/>
    <s v="Wallet"/>
    <n v="7.7"/>
  </r>
  <r>
    <s v="INV00039"/>
    <n v="46240"/>
    <s v="18:34"/>
    <x v="1"/>
    <s v="Warangal"/>
    <s v="Member"/>
    <s v="Male"/>
    <x v="6"/>
    <n v="191.59"/>
    <n v="4"/>
    <n v="38.32"/>
    <n v="804.68"/>
    <n v="650.46"/>
    <n v="154.22"/>
    <n v="19.170000000000002"/>
    <s v="UPI"/>
    <n v="6.6"/>
  </r>
  <r>
    <s v="INV00139"/>
    <n v="46242"/>
    <s v="13:38"/>
    <x v="3"/>
    <s v="Secunderabad"/>
    <s v="Member"/>
    <s v="Male"/>
    <x v="4"/>
    <n v="255.04"/>
    <m/>
    <n v="51.01"/>
    <n v="1071.17"/>
    <n v="766.54"/>
    <n v="304.63"/>
    <n v="28.44"/>
    <s v="Debit Card"/>
    <n v="5.7"/>
  </r>
  <r>
    <s v="INV00255"/>
    <n v="46242"/>
    <s v="17:04"/>
    <x v="0"/>
    <s v="Hyderabad"/>
    <s v="Normal"/>
    <s v="Female"/>
    <x v="1"/>
    <n v="117.51"/>
    <n v="2"/>
    <n v="11.75"/>
    <n v="246.77"/>
    <n v="182.98"/>
    <n v="63.79"/>
    <n v="25.85"/>
    <s v="UPI"/>
    <n v="6.3"/>
  </r>
  <r>
    <s v="INV00312"/>
    <n v="46242"/>
    <s v="21:16"/>
    <x v="0"/>
    <s v="Hyderabad"/>
    <s v="Normal"/>
    <s v="Male"/>
    <x v="2"/>
    <n v="85.1"/>
    <n v="4"/>
    <n v="17.02"/>
    <n v="357.42"/>
    <n v="260.49"/>
    <n v="96.93"/>
    <n v="27.12"/>
    <s v="Credit Card"/>
    <n v="7.7"/>
  </r>
  <r>
    <s v="INV00448"/>
    <n v="46243"/>
    <s v="18:54"/>
    <x v="1"/>
    <s v="Warangal"/>
    <s v="Normal"/>
    <s v="Male"/>
    <x v="0"/>
    <n v="98.94"/>
    <n v="6"/>
    <n v="29.68"/>
    <n v="623.32000000000005"/>
    <n v="470.46"/>
    <n v="152.86000000000001"/>
    <n v="24.52"/>
    <s v="Cash"/>
    <n v="6.7"/>
  </r>
  <r>
    <s v="INV00009"/>
    <n v="46244"/>
    <s v="18:30"/>
    <x v="2"/>
    <s v="Hyderabad"/>
    <s v="Member"/>
    <s v="Female"/>
    <x v="0"/>
    <n v="99.39"/>
    <n v="2"/>
    <n v="9.94"/>
    <n v="208.72"/>
    <n v="167.32"/>
    <n v="41.4"/>
    <n v="19.84"/>
    <s v="UPI"/>
    <n v="9.4"/>
  </r>
  <r>
    <s v="INV00051"/>
    <n v="46244"/>
    <s v="14:35"/>
    <x v="4"/>
    <s v="Vijayawada"/>
    <s v="Normal"/>
    <s v="Female"/>
    <x v="7"/>
    <n v="122.75"/>
    <n v="6"/>
    <n v="36.83"/>
    <n v="773.33"/>
    <n v="544.19000000000005"/>
    <n v="229.14"/>
    <n v="29.63"/>
    <s v="Wallet"/>
    <n v="7.8"/>
  </r>
  <r>
    <s v="INV00488"/>
    <n v="46245"/>
    <s v="12:32"/>
    <x v="3"/>
    <s v="Secunderabad"/>
    <s v="Normal"/>
    <s v="Male"/>
    <x v="6"/>
    <n v="200.83"/>
    <n v="6"/>
    <n v="60.25"/>
    <n v="1265.23"/>
    <n v="973.68"/>
    <n v="291.55"/>
    <n v="23.04"/>
    <s v="UPI"/>
    <n v="4.8"/>
  </r>
  <r>
    <s v="INV00138"/>
    <n v="46246"/>
    <s v="10:03"/>
    <x v="1"/>
    <s v="Warangal"/>
    <s v="Member"/>
    <s v="Female"/>
    <x v="4"/>
    <n v="237.48"/>
    <n v="9"/>
    <n v="106.87"/>
    <n v="2244.19"/>
    <n v="1545.13"/>
    <n v="699.06"/>
    <n v="31.15"/>
    <s v="UPI"/>
    <n v="7.1"/>
  </r>
  <r>
    <s v="INV00153"/>
    <n v="46246"/>
    <s v="15:28"/>
    <x v="0"/>
    <s v="Hyderabad"/>
    <s v="Normal"/>
    <s v="Female"/>
    <x v="7"/>
    <n v="92.88"/>
    <n v="5"/>
    <n v="23.22"/>
    <n v="487.62"/>
    <n v="340.27"/>
    <n v="147.35"/>
    <n v="30.22"/>
    <s v="Cash"/>
    <n v="8.5"/>
  </r>
  <r>
    <s v="INV00253"/>
    <n v="46246"/>
    <s v="12:44"/>
    <x v="4"/>
    <s v="Vijayawada"/>
    <s v="Member"/>
    <s v="Male"/>
    <x v="7"/>
    <n v="105.34"/>
    <n v="9"/>
    <n v="47.4"/>
    <n v="995.46"/>
    <n v="751.39"/>
    <n v="244.07"/>
    <n v="24.52"/>
    <s v="Wallet"/>
    <n v="7.6"/>
  </r>
  <r>
    <s v="INV00256"/>
    <n v="46247"/>
    <s v="21:01"/>
    <x v="2"/>
    <s v="Hyderabad"/>
    <s v="Member"/>
    <s v="Female"/>
    <x v="2"/>
    <n v="51.62"/>
    <n v="8"/>
    <n v="20.65"/>
    <n v="433.61"/>
    <n v="338.64"/>
    <n v="94.97"/>
    <n v="21.9"/>
    <s v="Cash"/>
    <n v="6.5"/>
  </r>
  <r>
    <s v="INV00369"/>
    <n v="46247"/>
    <s v="10:41"/>
    <x v="0"/>
    <s v="Hyderabad"/>
    <s v="Member"/>
    <s v="Male"/>
    <x v="2"/>
    <n v="92.69"/>
    <n v="10"/>
    <n v="46.34"/>
    <n v="973.24"/>
    <n v="778.28"/>
    <n v="194.96"/>
    <n v="20.03"/>
    <s v="UPI"/>
    <n v="8.5"/>
  </r>
  <r>
    <s v="INV00426"/>
    <n v="46247"/>
    <s v="16:50"/>
    <x v="2"/>
    <s v="Hyderabad"/>
    <s v="Normal"/>
    <s v="Female"/>
    <x v="1"/>
    <n v="127.59"/>
    <n v="6"/>
    <n v="38.28"/>
    <n v="803.82"/>
    <n v="583.70000000000005"/>
    <n v="220.12"/>
    <n v="27.38"/>
    <s v="Cash"/>
    <n v="8.6"/>
  </r>
  <r>
    <s v="INV00459"/>
    <n v="46247"/>
    <s v="10:55"/>
    <x v="0"/>
    <s v="Hyderabad"/>
    <s v="Member"/>
    <s v="Male"/>
    <x v="4"/>
    <n v="139.44999999999999"/>
    <n v="9"/>
    <n v="62.75"/>
    <n v="1317.8"/>
    <n v="1046.07"/>
    <n v="271.73"/>
    <n v="20.62"/>
    <s v="UPI"/>
    <n v="6.4"/>
  </r>
  <r>
    <s v="INV00201"/>
    <n v="46248"/>
    <s v="15:59"/>
    <x v="1"/>
    <s v="Warangal"/>
    <s v="Normal"/>
    <s v="Male"/>
    <x v="7"/>
    <n v="82.29"/>
    <n v="7"/>
    <n v="28.8"/>
    <n v="604.83000000000004"/>
    <n v="491.62"/>
    <n v="113.21"/>
    <n v="18.72"/>
    <s v="UPI"/>
    <n v="5.7"/>
  </r>
  <r>
    <s v="INV00259"/>
    <n v="46248"/>
    <s v="15:37"/>
    <x v="2"/>
    <s v="Hyderabad"/>
    <s v="Member"/>
    <s v="Male"/>
    <x v="0"/>
    <n v="146.03"/>
    <n v="1"/>
    <n v="7.3"/>
    <n v="153.33000000000001"/>
    <n v="123.58"/>
    <n v="29.75"/>
    <n v="19.399999999999999"/>
    <s v="UPI"/>
    <n v="7.1"/>
  </r>
  <r>
    <s v="INV00444"/>
    <n v="46248"/>
    <s v="09:25"/>
    <x v="3"/>
    <s v="Secunderabad"/>
    <s v="Member"/>
    <s v="Female"/>
    <x v="2"/>
    <n v="71.489999999999995"/>
    <n v="4"/>
    <n v="14.3"/>
    <n v="300.26"/>
    <n v="241.34"/>
    <n v="58.92"/>
    <n v="19.62"/>
    <s v="Debit Card"/>
    <n v="10"/>
  </r>
  <r>
    <s v="INV00447"/>
    <n v="46248"/>
    <s v="14:43"/>
    <x v="4"/>
    <s v="Vijayawada"/>
    <s v="Normal"/>
    <s v="Male"/>
    <x v="1"/>
    <n v="172.84"/>
    <n v="6"/>
    <n v="51.85"/>
    <n v="1088.8900000000001"/>
    <n v="803.61"/>
    <n v="285.27999999999997"/>
    <n v="26.2"/>
    <s v="Credit Card"/>
    <n v="8.8000000000000007"/>
  </r>
  <r>
    <s v="INV00328"/>
    <n v="46249"/>
    <s v="18:25"/>
    <x v="2"/>
    <s v="Hyderabad"/>
    <s v="Normal"/>
    <s v="Male"/>
    <x v="3"/>
    <n v="362.49"/>
    <n v="3"/>
    <n v="54.37"/>
    <n v="1141.8399999999999"/>
    <n v="849.88"/>
    <n v="291.95999999999998"/>
    <n v="25.57"/>
    <s v="Credit Card"/>
    <n v="6.4"/>
  </r>
  <r>
    <s v="INV00438"/>
    <n v="46250"/>
    <s v="13:21"/>
    <x v="4"/>
    <s v="Vijayawada"/>
    <s v="Normal"/>
    <s v="Male"/>
    <x v="0"/>
    <n v="107.9"/>
    <n v="1"/>
    <n v="5.4"/>
    <n v="113.3"/>
    <n v="84.68"/>
    <n v="28.62"/>
    <n v="25.26"/>
    <s v="Cash"/>
    <n v="8.9"/>
  </r>
  <r>
    <s v="INV00079"/>
    <n v="46251"/>
    <s v="14:58"/>
    <x v="3"/>
    <s v="Secunderabad"/>
    <s v="Member"/>
    <s v="Male"/>
    <x v="6"/>
    <n v="214.44"/>
    <n v="5"/>
    <n v="53.61"/>
    <n v="1125.81"/>
    <n v="853.19"/>
    <n v="272.62"/>
    <n v="24.22"/>
    <s v="Cash"/>
    <n v="6.8"/>
  </r>
  <r>
    <s v="INV00206"/>
    <n v="46251"/>
    <s v="17:41"/>
    <x v="0"/>
    <s v="Hyderabad"/>
    <s v="Normal"/>
    <s v="Female"/>
    <x v="0"/>
    <n v="83.75"/>
    <n v="3"/>
    <n v="12.56"/>
    <n v="263.81"/>
    <n v="208.11"/>
    <n v="55.7"/>
    <n v="21.11"/>
    <s v="Wallet"/>
    <n v="7.5"/>
  </r>
  <r>
    <s v="INV00096"/>
    <n v="46253"/>
    <s v="13:40"/>
    <x v="2"/>
    <s v="Hyderabad"/>
    <s v="Member"/>
    <s v="Female"/>
    <x v="6"/>
    <n v="219.2"/>
    <n v="8"/>
    <n v="87.68"/>
    <n v="1841.28"/>
    <n v="1333.47"/>
    <n v="507.81"/>
    <n v="27.58"/>
    <s v="UPI"/>
    <n v="7.9"/>
  </r>
  <r>
    <s v="INV00267"/>
    <n v="46253"/>
    <s v="15:02"/>
    <x v="1"/>
    <s v="Warangal"/>
    <s v="Member"/>
    <s v="Female"/>
    <x v="2"/>
    <n v="46.57"/>
    <n v="9"/>
    <n v="20.96"/>
    <n v="440.09"/>
    <n v="293.82"/>
    <n v="146.27000000000001"/>
    <n v="33.24"/>
    <s v="UPI"/>
    <n v="10"/>
  </r>
  <r>
    <s v="INV00292"/>
    <n v="46253"/>
    <s v="19:09"/>
    <x v="0"/>
    <s v="Hyderabad"/>
    <s v="Member"/>
    <s v="Female"/>
    <x v="7"/>
    <n v="119.97"/>
    <n v="7"/>
    <n v="41.99"/>
    <n v="881.78"/>
    <n v="684.34"/>
    <n v="197.44"/>
    <n v="22.39"/>
    <s v="Debit Card"/>
    <n v="6.4"/>
  </r>
  <r>
    <s v="INV00252"/>
    <n v="46254"/>
    <s v="18:32"/>
    <x v="3"/>
    <s v="Secunderabad"/>
    <s v="Member"/>
    <s v="Male"/>
    <x v="0"/>
    <n v="138.78"/>
    <n v="1"/>
    <n v="6.94"/>
    <n v="145.72"/>
    <n v="102.17"/>
    <n v="43.55"/>
    <n v="29.89"/>
    <s v="UPI"/>
    <n v="6.4"/>
  </r>
  <r>
    <s v="INV00349"/>
    <n v="46254"/>
    <s v="21:38"/>
    <x v="3"/>
    <s v="Secunderabad"/>
    <s v="Normal"/>
    <s v="Female"/>
    <x v="6"/>
    <n v="162.32"/>
    <n v="5"/>
    <n v="40.58"/>
    <n v="852.18"/>
    <n v="577.84"/>
    <n v="274.33999999999997"/>
    <n v="32.19"/>
    <s v="Cash"/>
    <n v="6.3"/>
  </r>
  <r>
    <s v="INV00042"/>
    <n v="46255"/>
    <s v="13:18"/>
    <x v="2"/>
    <s v="Hyderabad"/>
    <s v="Normal"/>
    <s v="Female"/>
    <x v="7"/>
    <n v="83.08"/>
    <n v="10"/>
    <n v="41.54"/>
    <n v="872.34"/>
    <n v="582.75"/>
    <n v="289.58999999999997"/>
    <n v="33.200000000000003"/>
    <s v="Debit Card"/>
    <n v="5.5"/>
  </r>
  <r>
    <s v="INV00300"/>
    <n v="46255"/>
    <s v="13:56"/>
    <x v="0"/>
    <s v="Hyderabad"/>
    <s v="Normal"/>
    <s v="Male"/>
    <x v="0"/>
    <n v="77.31"/>
    <n v="8"/>
    <n v="30.92"/>
    <n v="649.4"/>
    <n v="474.29"/>
    <n v="175.11"/>
    <n v="26.96"/>
    <s v="UPI"/>
    <n v="7.1"/>
  </r>
  <r>
    <s v="INV00352"/>
    <n v="46255"/>
    <s v="15:40"/>
    <x v="4"/>
    <s v="Vijayawada"/>
    <s v="Normal"/>
    <s v="Female"/>
    <x v="2"/>
    <n v="48.54"/>
    <n v="4"/>
    <n v="9.7100000000000009"/>
    <n v="203.87"/>
    <n v="157.44999999999999"/>
    <n v="46.42"/>
    <n v="22.77"/>
    <s v="Credit Card"/>
    <n v="7.1"/>
  </r>
  <r>
    <s v="INV00480"/>
    <n v="46256"/>
    <s v="10:45"/>
    <x v="2"/>
    <s v="Hyderabad"/>
    <s v="Member"/>
    <s v="Female"/>
    <x v="7"/>
    <n v="98.54"/>
    <n v="2"/>
    <n v="9.85"/>
    <n v="206.93"/>
    <n v="173.02"/>
    <n v="33.909999999999997"/>
    <n v="16.39"/>
    <s v="UPI"/>
    <n v="9.3000000000000007"/>
  </r>
  <r>
    <s v="INV00090"/>
    <n v="46257"/>
    <s v="14:06"/>
    <x v="2"/>
    <s v="Hyderabad"/>
    <s v="Member"/>
    <s v="Female"/>
    <x v="4"/>
    <n v="206.88"/>
    <n v="9"/>
    <n v="93.1"/>
    <n v="1955.02"/>
    <n v="1343.03"/>
    <n v="611.99"/>
    <n v="31.3"/>
    <s v="UPI"/>
    <n v="7.2"/>
  </r>
  <r>
    <s v="INV00210"/>
    <n v="46257"/>
    <s v="14:13"/>
    <x v="0"/>
    <s v="Hyderabad"/>
    <s v="Normal"/>
    <s v="Male"/>
    <x v="5"/>
    <n v="77.709999999999994"/>
    <n v="3"/>
    <n v="11.66"/>
    <n v="244.79"/>
    <n v="188.36"/>
    <n v="56.43"/>
    <n v="23.05"/>
    <s v="Cash"/>
    <n v="7.4"/>
  </r>
  <r>
    <s v="INV00365"/>
    <n v="46257"/>
    <s v="16:33"/>
    <x v="4"/>
    <s v="Vijayawada"/>
    <s v="Normal"/>
    <s v="Female"/>
    <x v="3"/>
    <n v="288.97000000000003"/>
    <n v="10"/>
    <n v="144.49"/>
    <n v="3034.19"/>
    <n v="2382.3200000000002"/>
    <n v="651.87"/>
    <n v="21.48"/>
    <s v="Debit Card"/>
    <n v="9.1"/>
  </r>
  <r>
    <s v="INV00443"/>
    <n v="46257"/>
    <s v="15:08"/>
    <x v="3"/>
    <s v="Secunderabad"/>
    <s v="Normal"/>
    <s v="Male"/>
    <x v="5"/>
    <n v="52.64"/>
    <n v="10"/>
    <n v="26.32"/>
    <n v="552.72"/>
    <n v="379.57"/>
    <n v="173.15"/>
    <n v="31.33"/>
    <s v="Debit Card"/>
    <n v="9.1"/>
  </r>
  <r>
    <s v="INV00477"/>
    <n v="46257"/>
    <s v="10:19"/>
    <x v="0"/>
    <s v="Hyderabad"/>
    <s v="Normal"/>
    <s v="Male"/>
    <x v="7"/>
    <n v="66.739999999999995"/>
    <n v="5"/>
    <n v="16.68"/>
    <n v="350.38"/>
    <n v="277.41000000000003"/>
    <n v="72.97"/>
    <n v="20.83"/>
    <s v="UPI"/>
    <n v="5.3"/>
  </r>
  <r>
    <s v="INV00105"/>
    <n v="46258"/>
    <s v="15:17"/>
    <x v="4"/>
    <s v="Vijayawada"/>
    <s v="Normal"/>
    <s v="Female"/>
    <x v="1"/>
    <n v="178.23"/>
    <n v="4"/>
    <n v="35.65"/>
    <n v="748.57"/>
    <n v="595.75"/>
    <n v="152.82"/>
    <n v="20.41"/>
    <s v="Wallet"/>
    <n v="7.1"/>
  </r>
  <r>
    <s v="INV00344"/>
    <n v="46258"/>
    <s v="16:53"/>
    <x v="2"/>
    <s v="Hyderabad"/>
    <s v="Normal"/>
    <s v="Female"/>
    <x v="0"/>
    <n v="117.27"/>
    <n v="1"/>
    <n v="5.86"/>
    <n v="123.13"/>
    <n v="83.75"/>
    <n v="39.380000000000003"/>
    <n v="31.98"/>
    <s v="Credit Card"/>
    <n v="9.1999999999999993"/>
  </r>
  <r>
    <s v="INV00462"/>
    <n v="46258"/>
    <s v="20:47"/>
    <x v="1"/>
    <s v="Warangal"/>
    <s v="Normal"/>
    <s v="Male"/>
    <x v="7"/>
    <n v="101.12"/>
    <n v="8"/>
    <n v="40.450000000000003"/>
    <n v="849.41"/>
    <n v="690.73"/>
    <n v="158.68"/>
    <n v="18.68"/>
    <s v="Cash"/>
    <n v="8.1"/>
  </r>
  <r>
    <s v="INV00063"/>
    <n v="46259"/>
    <s v="12:24"/>
    <x v="4"/>
    <s v="Vijayawada"/>
    <s v="Normal"/>
    <s v="Female"/>
    <x v="1"/>
    <n v="151.5"/>
    <n v="8"/>
    <n v="60.6"/>
    <n v="1272.5999999999999"/>
    <n v="962.19"/>
    <n v="310.41000000000003"/>
    <n v="24.39"/>
    <s v="UPI"/>
    <n v="7.1"/>
  </r>
  <r>
    <s v="INV00434"/>
    <n v="46259"/>
    <s v="16:35"/>
    <x v="0"/>
    <s v="Hyderabad"/>
    <s v="Normal"/>
    <s v="Male"/>
    <x v="7"/>
    <n v="90.56"/>
    <n v="1"/>
    <n v="4.53"/>
    <n v="95.09"/>
    <n v="75.86"/>
    <n v="19.23"/>
    <n v="20.22"/>
    <s v="UPI"/>
    <n v="9.3000000000000007"/>
  </r>
  <r>
    <s v="INV00013"/>
    <n v="46057"/>
    <s v="13:10"/>
    <x v="4"/>
    <s v="Vijayawada"/>
    <s v="Normal"/>
    <s v="Male"/>
    <x v="0"/>
    <n v="150.04"/>
    <n v="5"/>
    <n v="37.51"/>
    <n v="787.71"/>
    <n v="637.71"/>
    <n v="150"/>
    <n v="19.04"/>
    <s v="UPI"/>
    <n v="6.1"/>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2">
  <r>
    <s v="INV00007"/>
    <n v="46023"/>
    <s v="21:03"/>
    <x v="0"/>
    <x v="0"/>
    <x v="0"/>
    <s v="Female"/>
    <x v="0"/>
    <n v="117.04"/>
    <x v="0"/>
    <n v="52.67"/>
    <n v="1106.03"/>
    <n v="900.38"/>
    <n v="205.65"/>
    <n v="18.59"/>
    <x v="0"/>
    <n v="8"/>
    <x v="0"/>
  </r>
  <r>
    <s v="INV00057"/>
    <n v="46023"/>
    <s v="10:27"/>
    <x v="0"/>
    <x v="0"/>
    <x v="0"/>
    <s v="Male"/>
    <x v="1"/>
    <n v="104.35"/>
    <x v="1"/>
    <n v="10.44"/>
    <n v="219.14"/>
    <n v="154.80000000000001"/>
    <n v="64.34"/>
    <n v="29.36"/>
    <x v="1"/>
    <n v="8.1999999999999993"/>
    <x v="0"/>
  </r>
  <r>
    <s v="INV00208"/>
    <n v="46023"/>
    <s v="10:54"/>
    <x v="1"/>
    <x v="1"/>
    <x v="1"/>
    <s v="Male"/>
    <x v="2"/>
    <n v="80.569999999999993"/>
    <x v="2"/>
    <n v="16.11"/>
    <n v="338.39"/>
    <n v="259.74"/>
    <n v="78.650000000000006"/>
    <n v="23.24"/>
    <x v="2"/>
    <n v="9.3000000000000007"/>
    <x v="0"/>
  </r>
  <r>
    <s v="INV00437"/>
    <n v="46023"/>
    <s v="14:49"/>
    <x v="0"/>
    <x v="0"/>
    <x v="1"/>
    <s v="Male"/>
    <x v="1"/>
    <n v="108.68"/>
    <x v="3"/>
    <n v="38.04"/>
    <n v="798.8"/>
    <n v="604.12"/>
    <n v="194.68"/>
    <n v="24.37"/>
    <x v="3"/>
    <n v="6.7"/>
    <x v="0"/>
  </r>
  <r>
    <s v="INV00094"/>
    <n v="46024"/>
    <s v="13:32"/>
    <x v="2"/>
    <x v="0"/>
    <x v="1"/>
    <s v="Female"/>
    <x v="3"/>
    <n v="298.82"/>
    <x v="0"/>
    <n v="134.47"/>
    <n v="2823.85"/>
    <n v="2000.55"/>
    <n v="823.3"/>
    <n v="29.16"/>
    <x v="1"/>
    <n v="8.4"/>
    <x v="0"/>
  </r>
  <r>
    <s v="INV00101"/>
    <n v="46025"/>
    <s v="11:51"/>
    <x v="0"/>
    <x v="0"/>
    <x v="1"/>
    <s v="Male"/>
    <x v="4"/>
    <n v="243.36"/>
    <x v="0"/>
    <n v="109.51"/>
    <n v="2299.75"/>
    <n v="1830.37"/>
    <n v="469.38"/>
    <n v="20.41"/>
    <x v="4"/>
    <n v="8.6"/>
    <x v="0"/>
  </r>
  <r>
    <s v="INV00423"/>
    <n v="46025"/>
    <s v="10:11"/>
    <x v="0"/>
    <x v="0"/>
    <x v="1"/>
    <s v="Male"/>
    <x v="0"/>
    <n v="134.26"/>
    <x v="0"/>
    <n v="60.42"/>
    <n v="1268.76"/>
    <n v="907.16"/>
    <n v="361.6"/>
    <n v="28.5"/>
    <x v="4"/>
    <n v="9"/>
    <x v="0"/>
  </r>
  <r>
    <s v="INV00001"/>
    <n v="46026"/>
    <s v="11:56"/>
    <x v="3"/>
    <x v="2"/>
    <x v="1"/>
    <s v="Female"/>
    <x v="5"/>
    <n v="58.01"/>
    <x v="4"/>
    <n v="2.9"/>
    <n v="60.91"/>
    <n v="45.07"/>
    <n v="15.84"/>
    <n v="26.01"/>
    <x v="2"/>
    <n v="8.1"/>
    <x v="0"/>
  </r>
  <r>
    <s v="INV00006"/>
    <n v="46026"/>
    <s v="10:28"/>
    <x v="0"/>
    <x v="0"/>
    <x v="0"/>
    <s v="Male"/>
    <x v="4"/>
    <n v="232.56"/>
    <x v="5"/>
    <n v="69.77"/>
    <n v="1465.13"/>
    <n v="1206.6300000000001"/>
    <n v="258.5"/>
    <n v="17.64"/>
    <x v="3"/>
    <n v="9.6"/>
    <x v="0"/>
  </r>
  <r>
    <s v="INV00033"/>
    <n v="46026"/>
    <s v="09:44"/>
    <x v="0"/>
    <x v="0"/>
    <x v="1"/>
    <s v="Male"/>
    <x v="0"/>
    <n v="113.08"/>
    <x v="6"/>
    <n v="45.23"/>
    <n v="949.87"/>
    <n v="651.47"/>
    <n v="298.39999999999998"/>
    <n v="31.41"/>
    <x v="2"/>
    <n v="7.9"/>
    <x v="0"/>
  </r>
  <r>
    <s v="INV00490"/>
    <n v="46026"/>
    <s v="17:03"/>
    <x v="4"/>
    <x v="3"/>
    <x v="1"/>
    <s v="Female"/>
    <x v="2"/>
    <n v="49.73"/>
    <x v="2"/>
    <n v="9.9499999999999993"/>
    <n v="208.87"/>
    <n v="152.72999999999999"/>
    <n v="56.14"/>
    <n v="26.88"/>
    <x v="4"/>
    <n v="6.9"/>
    <x v="0"/>
  </r>
  <r>
    <s v="INV00170"/>
    <n v="46028"/>
    <s v="16:17"/>
    <x v="2"/>
    <x v="0"/>
    <x v="1"/>
    <s v="Female"/>
    <x v="4"/>
    <n v="201.68"/>
    <x v="4"/>
    <n v="10.08"/>
    <n v="211.76"/>
    <n v="154.59"/>
    <n v="57.17"/>
    <n v="27"/>
    <x v="2"/>
    <n v="9.5"/>
    <x v="0"/>
  </r>
  <r>
    <s v="INV00263"/>
    <n v="46028"/>
    <s v="11:22"/>
    <x v="0"/>
    <x v="0"/>
    <x v="1"/>
    <s v="Male"/>
    <x v="4"/>
    <n v="211.82"/>
    <x v="0"/>
    <n v="95.32"/>
    <n v="2001.7"/>
    <n v="1644.36"/>
    <n v="357.34"/>
    <n v="17.850000000000001"/>
    <x v="0"/>
    <n v="8.6"/>
    <x v="0"/>
  </r>
  <r>
    <s v="INV00014"/>
    <n v="46030"/>
    <s v="11:36"/>
    <x v="0"/>
    <x v="0"/>
    <x v="1"/>
    <s v="Male"/>
    <x v="2"/>
    <n v="70.33"/>
    <x v="2"/>
    <n v="14.07"/>
    <n v="295.39"/>
    <n v="222.21"/>
    <n v="73.180000000000007"/>
    <n v="24.77"/>
    <x v="2"/>
    <n v="8.4"/>
    <x v="0"/>
  </r>
  <r>
    <s v="INV00179"/>
    <n v="46030"/>
    <s v="18:03"/>
    <x v="4"/>
    <x v="3"/>
    <x v="0"/>
    <s v="Male"/>
    <x v="0"/>
    <n v="99.13"/>
    <x v="2"/>
    <n v="19.829999999999998"/>
    <n v="416.35"/>
    <n v="284.37"/>
    <n v="131.97999999999999"/>
    <n v="31.7"/>
    <x v="1"/>
    <n v="8.5"/>
    <x v="0"/>
  </r>
  <r>
    <s v="INV00143"/>
    <n v="46031"/>
    <s v="13:04"/>
    <x v="2"/>
    <x v="0"/>
    <x v="0"/>
    <s v="Male"/>
    <x v="4"/>
    <n v="208.83"/>
    <x v="7"/>
    <n v="52.21"/>
    <n v="1096.3599999999999"/>
    <n v="806.94"/>
    <n v="289.42"/>
    <n v="26.4"/>
    <x v="3"/>
    <n v="8.1"/>
    <x v="0"/>
  </r>
  <r>
    <s v="INV00193"/>
    <n v="46031"/>
    <s v="11:05"/>
    <x v="4"/>
    <x v="3"/>
    <x v="1"/>
    <s v="Male"/>
    <x v="6"/>
    <n v="233.01"/>
    <x v="0"/>
    <n v="104.85"/>
    <n v="2201.94"/>
    <n v="1718.03"/>
    <n v="483.91"/>
    <n v="21.98"/>
    <x v="3"/>
    <n v="9.9"/>
    <x v="0"/>
  </r>
  <r>
    <s v="INV00493"/>
    <n v="46031"/>
    <s v="11:57"/>
    <x v="3"/>
    <x v="2"/>
    <x v="1"/>
    <s v="Female"/>
    <x v="4"/>
    <n v="169.4"/>
    <x v="8"/>
    <n v="84.7"/>
    <n v="1778.7"/>
    <n v="1354.83"/>
    <n v="423.87"/>
    <n v="23.83"/>
    <x v="1"/>
    <n v="6.9"/>
    <x v="0"/>
  </r>
  <r>
    <s v="INV00165"/>
    <n v="46032"/>
    <s v="20:05"/>
    <x v="0"/>
    <x v="0"/>
    <x v="1"/>
    <s v="Male"/>
    <x v="1"/>
    <n v="152.88"/>
    <x v="0"/>
    <n v="68.8"/>
    <n v="1444.72"/>
    <n v="980.48"/>
    <n v="464.24"/>
    <n v="32.130000000000003"/>
    <x v="2"/>
    <n v="8.4"/>
    <x v="0"/>
  </r>
  <r>
    <s v="INV00209"/>
    <n v="46032"/>
    <s v="18:16"/>
    <x v="0"/>
    <x v="0"/>
    <x v="1"/>
    <s v="Female"/>
    <x v="4"/>
    <n v="218.63"/>
    <x v="5"/>
    <n v="65.59"/>
    <n v="1377.37"/>
    <n v="962.02"/>
    <n v="415.35"/>
    <n v="30.16"/>
    <x v="1"/>
    <n v="8.8000000000000007"/>
    <x v="0"/>
  </r>
  <r>
    <s v="INV00481"/>
    <n v="46032"/>
    <s v="16:07"/>
    <x v="2"/>
    <x v="0"/>
    <x v="0"/>
    <s v="Female"/>
    <x v="3"/>
    <n v="399.35"/>
    <x v="9"/>
    <n v="59.9"/>
    <n v="1257.95"/>
    <n v="844.08"/>
    <n v="413.87"/>
    <n v="32.9"/>
    <x v="3"/>
    <n v="7.6"/>
    <x v="0"/>
  </r>
  <r>
    <s v="INV00114"/>
    <n v="46033"/>
    <s v="16:31"/>
    <x v="4"/>
    <x v="3"/>
    <x v="1"/>
    <s v="Female"/>
    <x v="1"/>
    <n v="150.63"/>
    <x v="1"/>
    <n v="15.06"/>
    <n v="316.32"/>
    <n v="261.48"/>
    <n v="54.84"/>
    <n v="17.34"/>
    <x v="2"/>
    <n v="7.7"/>
    <x v="0"/>
  </r>
  <r>
    <s v="INV00050"/>
    <n v="46034"/>
    <s v="09:18"/>
    <x v="0"/>
    <x v="0"/>
    <x v="1"/>
    <s v="Female"/>
    <x v="2"/>
    <n v="64.48"/>
    <x v="5"/>
    <n v="19.34"/>
    <n v="406.22"/>
    <n v="328.48"/>
    <n v="77.739999999999995"/>
    <n v="19.14"/>
    <x v="4"/>
    <n v="5.7"/>
    <x v="0"/>
  </r>
  <r>
    <s v="INV00080"/>
    <n v="46034"/>
    <s v="15:08"/>
    <x v="0"/>
    <x v="0"/>
    <x v="0"/>
    <s v="Male"/>
    <x v="4"/>
    <n v="145.09"/>
    <x v="8"/>
    <n v="72.540000000000006"/>
    <n v="1523.44"/>
    <n v="1221.8"/>
    <n v="301.64"/>
    <n v="19.8"/>
    <x v="4"/>
    <n v="7.2"/>
    <x v="0"/>
  </r>
  <r>
    <s v="INV00218"/>
    <n v="46034"/>
    <s v="12:20"/>
    <x v="1"/>
    <x v="1"/>
    <x v="0"/>
    <s v="Female"/>
    <x v="0"/>
    <n v="74.97"/>
    <x v="0"/>
    <n v="33.74"/>
    <n v="708.47"/>
    <n v="526.22"/>
    <n v="182.25"/>
    <n v="25.72"/>
    <x v="2"/>
    <n v="7.2"/>
    <x v="0"/>
  </r>
  <r>
    <s v="INV00270"/>
    <n v="46035"/>
    <s v="15:40"/>
    <x v="3"/>
    <x v="2"/>
    <x v="1"/>
    <s v="Female"/>
    <x v="2"/>
    <n v="85.97"/>
    <x v="2"/>
    <n v="17.190000000000001"/>
    <n v="361.07"/>
    <n v="259.52999999999997"/>
    <n v="101.54"/>
    <n v="28.12"/>
    <x v="1"/>
    <n v="8.1"/>
    <x v="0"/>
  </r>
  <r>
    <s v="INV00295"/>
    <n v="46036"/>
    <s v="14:40"/>
    <x v="0"/>
    <x v="0"/>
    <x v="0"/>
    <s v="Female"/>
    <x v="1"/>
    <n v="104.53"/>
    <x v="9"/>
    <n v="15.68"/>
    <n v="329.27"/>
    <n v="227.33"/>
    <n v="101.94"/>
    <n v="30.96"/>
    <x v="3"/>
    <n v="6.6"/>
    <x v="0"/>
  </r>
  <r>
    <s v="INV00093"/>
    <n v="46037"/>
    <s v="19:41"/>
    <x v="1"/>
    <x v="1"/>
    <x v="0"/>
    <s v="Male"/>
    <x v="4"/>
    <n v="149.97"/>
    <x v="2"/>
    <n v="29.99"/>
    <n v="629.87"/>
    <n v="437.94"/>
    <n v="191.93"/>
    <n v="30.47"/>
    <x v="2"/>
    <n v="7.8"/>
    <x v="0"/>
  </r>
  <r>
    <s v="INV00158"/>
    <n v="46037"/>
    <s v="16:03"/>
    <x v="1"/>
    <x v="1"/>
    <x v="0"/>
    <s v="Male"/>
    <x v="3"/>
    <n v="263.77999999999997"/>
    <x v="2"/>
    <n v="52.76"/>
    <n v="1107.8800000000001"/>
    <n v="824.14"/>
    <n v="283.74"/>
    <n v="25.61"/>
    <x v="2"/>
    <n v="6.2"/>
    <x v="0"/>
  </r>
  <r>
    <s v="INV00198"/>
    <n v="46037"/>
    <s v="09:23"/>
    <x v="4"/>
    <x v="3"/>
    <x v="0"/>
    <s v="Male"/>
    <x v="7"/>
    <n v="76.540000000000006"/>
    <x v="8"/>
    <n v="38.270000000000003"/>
    <n v="803.67"/>
    <n v="619.19000000000005"/>
    <n v="184.48"/>
    <n v="22.95"/>
    <x v="4"/>
    <n v="7"/>
    <x v="0"/>
  </r>
  <r>
    <s v="INV00489"/>
    <n v="46037"/>
    <s v="21:39"/>
    <x v="4"/>
    <x v="3"/>
    <x v="1"/>
    <s v="Female"/>
    <x v="4"/>
    <n v="298.25"/>
    <x v="9"/>
    <n v="44.74"/>
    <n v="939.49"/>
    <n v="634.94000000000005"/>
    <n v="304.55"/>
    <n v="32.42"/>
    <x v="4"/>
    <n v="9.6"/>
    <x v="0"/>
  </r>
  <r>
    <s v="INV00028"/>
    <n v="46038"/>
    <s v="18:50"/>
    <x v="2"/>
    <x v="0"/>
    <x v="0"/>
    <s v="Male"/>
    <x v="4"/>
    <n v="221.55"/>
    <x v="5"/>
    <n v="66.47"/>
    <n v="1395.77"/>
    <n v="997.76"/>
    <n v="398.01"/>
    <n v="28.52"/>
    <x v="2"/>
    <n v="9.5"/>
    <x v="0"/>
  </r>
  <r>
    <s v="INV00190"/>
    <n v="46038"/>
    <s v="17:58"/>
    <x v="3"/>
    <x v="2"/>
    <x v="0"/>
    <s v="Female"/>
    <x v="4"/>
    <n v="162.4"/>
    <x v="7"/>
    <n v="40.6"/>
    <n v="852.6"/>
    <n v="598.69000000000005"/>
    <n v="253.91"/>
    <n v="29.78"/>
    <x v="4"/>
    <n v="5.4"/>
    <x v="0"/>
  </r>
  <r>
    <s v="INV00337"/>
    <n v="46038"/>
    <s v="11:42"/>
    <x v="4"/>
    <x v="3"/>
    <x v="1"/>
    <s v="Female"/>
    <x v="0"/>
    <n v="77.819999999999993"/>
    <x v="5"/>
    <n v="23.35"/>
    <n v="490.27"/>
    <n v="403.34"/>
    <n v="86.93"/>
    <n v="17.73"/>
    <x v="4"/>
    <n v="7.4"/>
    <x v="0"/>
  </r>
  <r>
    <s v="INV00453"/>
    <n v="46038"/>
    <s v="18:55"/>
    <x v="2"/>
    <x v="0"/>
    <x v="0"/>
    <s v="Female"/>
    <x v="4"/>
    <n v="157.59"/>
    <x v="1"/>
    <n v="15.76"/>
    <n v="330.94"/>
    <n v="262.39"/>
    <n v="68.55"/>
    <n v="20.71"/>
    <x v="2"/>
    <n v="8.1"/>
    <x v="0"/>
  </r>
  <r>
    <s v="INV00499"/>
    <n v="46038"/>
    <s v="16:17"/>
    <x v="4"/>
    <x v="3"/>
    <x v="1"/>
    <s v="Female"/>
    <x v="0"/>
    <n v="142.88"/>
    <x v="9"/>
    <n v="21.43"/>
    <n v="450.07"/>
    <n v="347.11"/>
    <n v="102.96"/>
    <n v="22.88"/>
    <x v="1"/>
    <n v="8.1999999999999993"/>
    <x v="0"/>
  </r>
  <r>
    <s v="INV00035"/>
    <n v="46039"/>
    <s v="21:57"/>
    <x v="4"/>
    <x v="3"/>
    <x v="1"/>
    <s v="Female"/>
    <x v="2"/>
    <n v="53.34"/>
    <x v="4"/>
    <n v="2.67"/>
    <n v="56.01"/>
    <n v="44.89"/>
    <n v="11.12"/>
    <n v="19.850000000000001"/>
    <x v="1"/>
    <n v="7.4"/>
    <x v="0"/>
  </r>
  <r>
    <s v="INV00053"/>
    <n v="46040"/>
    <s v="11:48"/>
    <x v="4"/>
    <x v="0"/>
    <x v="0"/>
    <s v="Female"/>
    <x v="7"/>
    <n v="100.71"/>
    <x v="8"/>
    <n v="50.36"/>
    <n v="1057.46"/>
    <n v="847.52"/>
    <n v="209.94"/>
    <n v="19.850000000000001"/>
    <x v="4"/>
    <n v="8.4"/>
    <x v="0"/>
  </r>
  <r>
    <s v="INV00100"/>
    <n v="46040"/>
    <s v="11:51"/>
    <x v="0"/>
    <x v="0"/>
    <x v="1"/>
    <s v="Male"/>
    <x v="1"/>
    <n v="95.43"/>
    <x v="4"/>
    <n v="4.7699999999999996"/>
    <n v="100.2"/>
    <n v="73.930000000000007"/>
    <n v="26.27"/>
    <n v="26.22"/>
    <x v="1"/>
    <n v="6.7"/>
    <x v="0"/>
  </r>
  <r>
    <s v="INV00234"/>
    <n v="46040"/>
    <s v="10:45"/>
    <x v="2"/>
    <x v="0"/>
    <x v="1"/>
    <s v="Female"/>
    <x v="7"/>
    <n v="73.06"/>
    <x v="1"/>
    <n v="7.31"/>
    <n v="153.43"/>
    <n v="122.71"/>
    <n v="30.72"/>
    <n v="20.02"/>
    <x v="2"/>
    <n v="10"/>
    <x v="0"/>
  </r>
  <r>
    <s v="INV00483"/>
    <n v="46040"/>
    <s v="20:52"/>
    <x v="2"/>
    <x v="0"/>
    <x v="1"/>
    <s v="Male"/>
    <x v="1"/>
    <n v="100.96"/>
    <x v="4"/>
    <n v="5.05"/>
    <n v="106.01"/>
    <n v="80.12"/>
    <n v="25.89"/>
    <n v="24.42"/>
    <x v="0"/>
    <n v="8"/>
    <x v="0"/>
  </r>
  <r>
    <s v="INV00070"/>
    <n v="46041"/>
    <s v="18:50"/>
    <x v="4"/>
    <x v="3"/>
    <x v="1"/>
    <s v="Female"/>
    <x v="3"/>
    <n v="313.22000000000003"/>
    <x v="2"/>
    <n v="62.64"/>
    <n v="1315.52"/>
    <n v="943.76"/>
    <n v="371.76"/>
    <n v="28.26"/>
    <x v="2"/>
    <n v="6.8"/>
    <x v="0"/>
  </r>
  <r>
    <s v="INV00308"/>
    <n v="46041"/>
    <s v="19:20"/>
    <x v="3"/>
    <x v="2"/>
    <x v="0"/>
    <s v="Male"/>
    <x v="0"/>
    <n v="97.86"/>
    <x v="9"/>
    <n v="14.68"/>
    <n v="308.26"/>
    <n v="255.18"/>
    <n v="53.08"/>
    <n v="17.22"/>
    <x v="2"/>
    <n v="8"/>
    <x v="0"/>
  </r>
  <r>
    <s v="INV00428"/>
    <n v="46041"/>
    <s v="20:08"/>
    <x v="4"/>
    <x v="3"/>
    <x v="0"/>
    <s v="Male"/>
    <x v="7"/>
    <n v="66.16"/>
    <x v="7"/>
    <n v="16.54"/>
    <n v="347.34"/>
    <n v="290.61"/>
    <n v="56.73"/>
    <n v="16.329999999999998"/>
    <x v="1"/>
    <n v="6.6"/>
    <x v="0"/>
  </r>
  <r>
    <s v="INV00395"/>
    <n v="46043"/>
    <s v="13:22"/>
    <x v="3"/>
    <x v="2"/>
    <x v="1"/>
    <s v="Male"/>
    <x v="5"/>
    <n v="55.08"/>
    <x v="8"/>
    <n v="27.54"/>
    <n v="578.34"/>
    <n v="387.59"/>
    <n v="190.75"/>
    <n v="32.979999999999997"/>
    <x v="2"/>
    <n v="6.9"/>
    <x v="0"/>
  </r>
  <r>
    <s v="INV00471"/>
    <n v="46043"/>
    <s v="16:22"/>
    <x v="0"/>
    <x v="0"/>
    <x v="0"/>
    <s v="Female"/>
    <x v="5"/>
    <n v="109.51"/>
    <x v="4"/>
    <n v="5.48"/>
    <n v="114.99"/>
    <n v="83.97"/>
    <n v="31.02"/>
    <n v="26.98"/>
    <x v="1"/>
    <n v="6.1"/>
    <x v="0"/>
  </r>
  <r>
    <s v="INV00046"/>
    <n v="46044"/>
    <s v="12:14"/>
    <x v="1"/>
    <x v="1"/>
    <x v="0"/>
    <s v="Male"/>
    <x v="3"/>
    <n v="209.96"/>
    <x v="1"/>
    <n v="21"/>
    <n v="440.92"/>
    <n v="313.20999999999998"/>
    <n v="127.71"/>
    <n v="28.96"/>
    <x v="4"/>
    <n v="9.6999999999999993"/>
    <x v="0"/>
  </r>
  <r>
    <s v="INV00123"/>
    <n v="46044"/>
    <s v="21:54"/>
    <x v="3"/>
    <x v="2"/>
    <x v="0"/>
    <s v="Female"/>
    <x v="3"/>
    <n v="385.28"/>
    <x v="8"/>
    <n v="192.64"/>
    <n v="4045.44"/>
    <n v="3235.46"/>
    <n v="809.98"/>
    <n v="20.02"/>
    <x v="2"/>
    <n v="8"/>
    <x v="0"/>
  </r>
  <r>
    <s v="INV00203"/>
    <n v="46044"/>
    <s v="21:21"/>
    <x v="0"/>
    <x v="0"/>
    <x v="1"/>
    <s v="Female"/>
    <x v="3"/>
    <n v="350.77"/>
    <x v="7"/>
    <n v="87.69"/>
    <n v="1841.54"/>
    <n v="1467.07"/>
    <n v="374.47"/>
    <n v="20.329999999999998"/>
    <x v="1"/>
    <n v="7"/>
    <x v="0"/>
  </r>
  <r>
    <s v="INV00228"/>
    <n v="46045"/>
    <s v="12:09"/>
    <x v="3"/>
    <x v="2"/>
    <x v="1"/>
    <s v="Female"/>
    <x v="2"/>
    <n v="89.77"/>
    <x v="7"/>
    <n v="22.44"/>
    <n v="471.29"/>
    <n v="380.92"/>
    <n v="90.37"/>
    <n v="19.18"/>
    <x v="2"/>
    <n v="7.1"/>
    <x v="0"/>
  </r>
  <r>
    <s v="INV00265"/>
    <n v="46046"/>
    <s v="09:40"/>
    <x v="4"/>
    <x v="3"/>
    <x v="1"/>
    <s v="Female"/>
    <x v="1"/>
    <n v="166.93"/>
    <x v="1"/>
    <n v="16.690000000000001"/>
    <n v="350.55"/>
    <n v="281.86"/>
    <n v="68.69"/>
    <n v="19.59"/>
    <x v="2"/>
    <n v="8.8000000000000007"/>
    <x v="0"/>
  </r>
  <r>
    <s v="INV00129"/>
    <n v="46047"/>
    <s v="17:55"/>
    <x v="0"/>
    <x v="0"/>
    <x v="1"/>
    <s v="Male"/>
    <x v="1"/>
    <n v="146.03"/>
    <x v="0"/>
    <n v="65.709999999999994"/>
    <n v="1379.98"/>
    <n v="972.48"/>
    <n v="407.5"/>
    <n v="29.53"/>
    <x v="4"/>
    <n v="8.1"/>
    <x v="0"/>
  </r>
  <r>
    <s v="INV00233"/>
    <n v="46047"/>
    <s v="15:43"/>
    <x v="2"/>
    <x v="0"/>
    <x v="1"/>
    <s v="Male"/>
    <x v="5"/>
    <n v="112.42"/>
    <x v="8"/>
    <n v="56.21"/>
    <n v="1180.4100000000001"/>
    <n v="799.72"/>
    <n v="380.69"/>
    <n v="32.25"/>
    <x v="2"/>
    <n v="6.6"/>
    <x v="0"/>
  </r>
  <r>
    <s v="INV00272"/>
    <n v="46047"/>
    <s v="12:31"/>
    <x v="4"/>
    <x v="3"/>
    <x v="0"/>
    <s v="Male"/>
    <x v="2"/>
    <n v="53.03"/>
    <x v="7"/>
    <n v="13.26"/>
    <n v="278.41000000000003"/>
    <n v="231.48"/>
    <n v="46.93"/>
    <n v="16.86"/>
    <x v="1"/>
    <n v="7.7"/>
    <x v="0"/>
  </r>
  <r>
    <s v="INV00411"/>
    <n v="46047"/>
    <s v="10:40"/>
    <x v="3"/>
    <x v="2"/>
    <x v="1"/>
    <s v="Female"/>
    <x v="7"/>
    <n v="97.64"/>
    <x v="5"/>
    <n v="29.29"/>
    <n v="615.13"/>
    <n v="426.54"/>
    <n v="188.59"/>
    <n v="30.66"/>
    <x v="1"/>
    <n v="9.3000000000000007"/>
    <x v="0"/>
  </r>
  <r>
    <s v="INV00452"/>
    <n v="46047"/>
    <s v="16:50"/>
    <x v="2"/>
    <x v="0"/>
    <x v="0"/>
    <s v="Male"/>
    <x v="5"/>
    <n v="114.46"/>
    <x v="5"/>
    <n v="34.340000000000003"/>
    <n v="721.1"/>
    <n v="543.79"/>
    <n v="177.31"/>
    <n v="24.59"/>
    <x v="4"/>
    <n v="8.1999999999999993"/>
    <x v="0"/>
  </r>
  <r>
    <s v="INV00294"/>
    <n v="46048"/>
    <s v="19:52"/>
    <x v="3"/>
    <x v="2"/>
    <x v="0"/>
    <s v="Male"/>
    <x v="7"/>
    <n v="108.38"/>
    <x v="6"/>
    <n v="43.35"/>
    <n v="910.39"/>
    <n v="712.45"/>
    <n v="197.94"/>
    <n v="21.74"/>
    <x v="4"/>
    <n v="8.6999999999999993"/>
    <x v="0"/>
  </r>
  <r>
    <s v="INV00348"/>
    <n v="46048"/>
    <s v="18:07"/>
    <x v="0"/>
    <x v="0"/>
    <x v="1"/>
    <s v="Male"/>
    <x v="0"/>
    <n v="115.21"/>
    <x v="5"/>
    <n v="34.56"/>
    <n v="725.82"/>
    <n v="571.30999999999995"/>
    <n v="154.51"/>
    <n v="21.29"/>
    <x v="1"/>
    <n v="7.3"/>
    <x v="0"/>
  </r>
  <r>
    <s v="INV00021"/>
    <n v="46049"/>
    <s v="12:06"/>
    <x v="2"/>
    <x v="0"/>
    <x v="0"/>
    <s v="Female"/>
    <x v="7"/>
    <n v="69.67"/>
    <x v="5"/>
    <n v="20.9"/>
    <n v="438.92"/>
    <n v="337.67"/>
    <n v="101.25"/>
    <n v="23.07"/>
    <x v="2"/>
    <n v="6.6"/>
    <x v="0"/>
  </r>
  <r>
    <s v="INV00239"/>
    <n v="46050"/>
    <s v="21:16"/>
    <x v="1"/>
    <x v="1"/>
    <x v="0"/>
    <s v="Female"/>
    <x v="6"/>
    <n v="207.38"/>
    <x v="0"/>
    <n v="93.32"/>
    <n v="1959.74"/>
    <n v="1566.41"/>
    <n v="393.33"/>
    <n v="20.07"/>
    <x v="2"/>
    <n v="7.4"/>
    <x v="0"/>
  </r>
  <r>
    <s v="INV00318"/>
    <n v="46050"/>
    <s v="12:17"/>
    <x v="0"/>
    <x v="0"/>
    <x v="0"/>
    <s v="Female"/>
    <x v="3"/>
    <n v="279.94"/>
    <x v="0"/>
    <n v="125.97"/>
    <n v="2645.43"/>
    <n v="2055.79"/>
    <n v="589.64"/>
    <n v="22.29"/>
    <x v="4"/>
    <n v="7"/>
    <x v="0"/>
  </r>
  <r>
    <s v="INV00338"/>
    <n v="46050"/>
    <s v="09:54"/>
    <x v="1"/>
    <x v="1"/>
    <x v="0"/>
    <s v="Female"/>
    <x v="3"/>
    <n v="382.75"/>
    <x v="4"/>
    <n v="19.14"/>
    <n v="401.89"/>
    <n v="311.95"/>
    <n v="89.94"/>
    <n v="22.38"/>
    <x v="1"/>
    <n v="5.5"/>
    <x v="0"/>
  </r>
  <r>
    <s v="INV00408"/>
    <n v="46050"/>
    <s v="18:11"/>
    <x v="0"/>
    <x v="0"/>
    <x v="0"/>
    <s v="Female"/>
    <x v="3"/>
    <n v="425.69"/>
    <x v="1"/>
    <n v="42.57"/>
    <n v="893.95"/>
    <n v="723.06"/>
    <n v="170.89"/>
    <n v="19.12"/>
    <x v="4"/>
    <n v="6.3"/>
    <x v="0"/>
  </r>
  <r>
    <s v="INV00088"/>
    <n v="46051"/>
    <s v="19:00"/>
    <x v="2"/>
    <x v="0"/>
    <x v="1"/>
    <s v="Female"/>
    <x v="1"/>
    <n v="137.06"/>
    <x v="5"/>
    <n v="41.12"/>
    <n v="863.48"/>
    <n v="669.59"/>
    <n v="193.89"/>
    <n v="22.45"/>
    <x v="4"/>
    <n v="8.9"/>
    <x v="0"/>
  </r>
  <r>
    <s v="INV00167"/>
    <n v="46051"/>
    <s v="10:41"/>
    <x v="3"/>
    <x v="2"/>
    <x v="0"/>
    <s v="Female"/>
    <x v="4"/>
    <n v="201.05"/>
    <x v="8"/>
    <n v="100.52"/>
    <n v="2111.02"/>
    <n v="1627.53"/>
    <n v="483.49"/>
    <n v="22.9"/>
    <x v="0"/>
    <n v="6.2"/>
    <x v="0"/>
  </r>
  <r>
    <s v="INV00044"/>
    <n v="46052"/>
    <s v="20:18"/>
    <x v="4"/>
    <x v="3"/>
    <x v="0"/>
    <s v="Male"/>
    <x v="5"/>
    <n v="85.06"/>
    <x v="7"/>
    <n v="21.26"/>
    <n v="446.56"/>
    <n v="331.65"/>
    <n v="114.91"/>
    <n v="25.73"/>
    <x v="1"/>
    <n v="6.1"/>
    <x v="0"/>
  </r>
  <r>
    <s v="INV00075"/>
    <n v="46052"/>
    <s v="13:53"/>
    <x v="1"/>
    <x v="1"/>
    <x v="0"/>
    <s v="Male"/>
    <x v="2"/>
    <n v="91.63"/>
    <x v="0"/>
    <n v="41.23"/>
    <n v="865.9"/>
    <n v="649.91"/>
    <n v="215.99"/>
    <n v="24.94"/>
    <x v="1"/>
    <n v="7.9"/>
    <x v="0"/>
  </r>
  <r>
    <s v="INV00482"/>
    <n v="46052"/>
    <s v="21:29"/>
    <x v="1"/>
    <x v="1"/>
    <x v="1"/>
    <s v="Male"/>
    <x v="2"/>
    <n v="72.03"/>
    <x v="8"/>
    <n v="36.020000000000003"/>
    <n v="756.32"/>
    <n v="536.97"/>
    <n v="219.35"/>
    <n v="29"/>
    <x v="4"/>
    <n v="6.7"/>
    <x v="0"/>
  </r>
  <r>
    <s v="INV00032"/>
    <n v="46053"/>
    <s v="20:54"/>
    <x v="0"/>
    <x v="0"/>
    <x v="0"/>
    <s v="Female"/>
    <x v="0"/>
    <n v="103.34"/>
    <x v="5"/>
    <n v="31"/>
    <n v="651.04"/>
    <n v="537.16"/>
    <n v="113.88"/>
    <n v="17.489999999999998"/>
    <x v="0"/>
    <n v="5.8"/>
    <x v="0"/>
  </r>
  <r>
    <s v="INV00394"/>
    <n v="46053"/>
    <s v="11:57"/>
    <x v="1"/>
    <x v="1"/>
    <x v="1"/>
    <s v="Female"/>
    <x v="3"/>
    <n v="372.9"/>
    <x v="5"/>
    <n v="111.87"/>
    <n v="2349.27"/>
    <n v="1654.66"/>
    <n v="694.61"/>
    <n v="29.57"/>
    <x v="4"/>
    <n v="7.1"/>
    <x v="0"/>
  </r>
  <r>
    <s v="INV00479"/>
    <n v="46053"/>
    <s v="10:53"/>
    <x v="4"/>
    <x v="3"/>
    <x v="0"/>
    <s v="Female"/>
    <x v="6"/>
    <n v="156.75"/>
    <x v="6"/>
    <n v="62.7"/>
    <n v="1316.7"/>
    <n v="954.01"/>
    <n v="362.69"/>
    <n v="27.55"/>
    <x v="4"/>
    <n v="7.4"/>
    <x v="0"/>
  </r>
  <r>
    <s v="INV00022"/>
    <n v="46054"/>
    <s v="10:53"/>
    <x v="0"/>
    <x v="0"/>
    <x v="1"/>
    <s v="Female"/>
    <x v="3"/>
    <n v="306.43"/>
    <x v="1"/>
    <n v="30.64"/>
    <n v="643.5"/>
    <n v="451.19"/>
    <n v="192.31"/>
    <n v="29.89"/>
    <x v="3"/>
    <n v="8.5"/>
    <x v="1"/>
  </r>
  <r>
    <s v="INV00077"/>
    <n v="46055"/>
    <s v="19:07"/>
    <x v="1"/>
    <x v="1"/>
    <x v="1"/>
    <s v="Female"/>
    <x v="1"/>
    <n v="189.51"/>
    <x v="8"/>
    <n v="94.76"/>
    <n v="1989.86"/>
    <n v="1579.21"/>
    <n v="410.65"/>
    <n v="20.64"/>
    <x v="4"/>
    <n v="6.6"/>
    <x v="1"/>
  </r>
  <r>
    <s v="INV00316"/>
    <n v="46055"/>
    <s v="09:08"/>
    <x v="1"/>
    <x v="1"/>
    <x v="0"/>
    <s v="Male"/>
    <x v="7"/>
    <n v="84.19"/>
    <x v="5"/>
    <n v="25.26"/>
    <n v="530.4"/>
    <n v="411.03"/>
    <n v="119.37"/>
    <n v="22.51"/>
    <x v="3"/>
    <n v="7.7"/>
    <x v="1"/>
  </r>
  <r>
    <s v="INV00466"/>
    <n v="46056"/>
    <s v="18:31"/>
    <x v="3"/>
    <x v="2"/>
    <x v="1"/>
    <s v="Female"/>
    <x v="3"/>
    <n v="284.75"/>
    <x v="8"/>
    <n v="142.38"/>
    <n v="2989.88"/>
    <n v="2201.63"/>
    <n v="788.25"/>
    <n v="26.36"/>
    <x v="4"/>
    <n v="8.5"/>
    <x v="1"/>
  </r>
  <r>
    <s v="INV00013"/>
    <n v="46057"/>
    <s v="13:10"/>
    <x v="4"/>
    <x v="3"/>
    <x v="0"/>
    <s v="Male"/>
    <x v="0"/>
    <n v="150.04"/>
    <x v="7"/>
    <n v="37.51"/>
    <n v="787.71"/>
    <n v="637.71"/>
    <n v="150"/>
    <n v="19.04"/>
    <x v="4"/>
    <n v="6.1"/>
    <x v="1"/>
  </r>
  <r>
    <s v="INV00169"/>
    <n v="46057"/>
    <s v="09:12"/>
    <x v="0"/>
    <x v="0"/>
    <x v="1"/>
    <s v="Female"/>
    <x v="4"/>
    <n v="141.69999999999999"/>
    <x v="7"/>
    <n v="35.43"/>
    <n v="743.93"/>
    <n v="543.71"/>
    <n v="200.22"/>
    <n v="26.91"/>
    <x v="2"/>
    <n v="9.1"/>
    <x v="1"/>
  </r>
  <r>
    <s v="INV00291"/>
    <n v="46057"/>
    <s v="18:32"/>
    <x v="0"/>
    <x v="0"/>
    <x v="1"/>
    <s v="Male"/>
    <x v="4"/>
    <n v="247.13"/>
    <x v="1"/>
    <n v="24.71"/>
    <n v="518.97"/>
    <n v="352.15"/>
    <n v="166.82"/>
    <n v="32.14"/>
    <x v="3"/>
    <n v="6.8"/>
    <x v="1"/>
  </r>
  <r>
    <s v="INV00435"/>
    <n v="46057"/>
    <s v="21:41"/>
    <x v="0"/>
    <x v="0"/>
    <x v="1"/>
    <s v="Female"/>
    <x v="4"/>
    <n v="193.17"/>
    <x v="4"/>
    <n v="9.66"/>
    <n v="202.83"/>
    <n v="167.92"/>
    <n v="34.909999999999997"/>
    <n v="17.21"/>
    <x v="1"/>
    <n v="8.4"/>
    <x v="1"/>
  </r>
  <r>
    <s v="INV00017"/>
    <n v="46058"/>
    <s v="16:12"/>
    <x v="3"/>
    <x v="2"/>
    <x v="1"/>
    <s v="Male"/>
    <x v="3"/>
    <n v="359.47"/>
    <x v="6"/>
    <n v="143.79"/>
    <n v="3019.55"/>
    <n v="2418.85"/>
    <n v="600.70000000000005"/>
    <n v="19.89"/>
    <x v="1"/>
    <n v="7.1"/>
    <x v="1"/>
  </r>
  <r>
    <s v="INV00052"/>
    <n v="46058"/>
    <s v="15:29"/>
    <x v="1"/>
    <x v="1"/>
    <x v="1"/>
    <s v="Male"/>
    <x v="2"/>
    <n v="77.53"/>
    <x v="1"/>
    <n v="7.75"/>
    <n v="162.81"/>
    <n v="131.13"/>
    <n v="31.68"/>
    <n v="19.46"/>
    <x v="1"/>
    <n v="10"/>
    <x v="1"/>
  </r>
  <r>
    <s v="INV00323"/>
    <n v="46059"/>
    <s v="19:14"/>
    <x v="1"/>
    <x v="1"/>
    <x v="0"/>
    <s v="Male"/>
    <x v="3"/>
    <n v="290.3"/>
    <x v="3"/>
    <n v="101.61"/>
    <n v="2133.71"/>
    <n v="1718.84"/>
    <n v="414.87"/>
    <n v="19.440000000000001"/>
    <x v="4"/>
    <n v="7.7"/>
    <x v="1"/>
  </r>
  <r>
    <s v="INV00173"/>
    <n v="46060"/>
    <s v="19:38"/>
    <x v="2"/>
    <x v="0"/>
    <x v="0"/>
    <s v="Male"/>
    <x v="1"/>
    <n v="181.97"/>
    <x v="6"/>
    <n v="72.790000000000006"/>
    <n v="1528.55"/>
    <n v="1262.54"/>
    <n v="266.01"/>
    <n v="17.399999999999999"/>
    <x v="1"/>
    <n v="7.1"/>
    <x v="1"/>
  </r>
  <r>
    <s v="INV00331"/>
    <n v="46060"/>
    <s v="13:02"/>
    <x v="3"/>
    <x v="2"/>
    <x v="1"/>
    <s v="Male"/>
    <x v="4"/>
    <n v="157.15"/>
    <x v="6"/>
    <n v="62.86"/>
    <n v="1320.06"/>
    <n v="1035.1400000000001"/>
    <n v="284.92"/>
    <n v="21.58"/>
    <x v="4"/>
    <n v="7.4"/>
    <x v="1"/>
  </r>
  <r>
    <s v="INV00416"/>
    <n v="46060"/>
    <s v="20:38"/>
    <x v="2"/>
    <x v="0"/>
    <x v="0"/>
    <s v="Male"/>
    <x v="6"/>
    <n v="163.95"/>
    <x v="0"/>
    <n v="73.78"/>
    <n v="1549.33"/>
    <n v="1033.72"/>
    <n v="515.61"/>
    <n v="33.28"/>
    <x v="0"/>
    <n v="4.5999999999999996"/>
    <x v="1"/>
  </r>
  <r>
    <s v="INV00036"/>
    <n v="46061"/>
    <s v="15:27"/>
    <x v="4"/>
    <x v="3"/>
    <x v="0"/>
    <s v="Male"/>
    <x v="0"/>
    <n v="95.86"/>
    <x v="1"/>
    <n v="9.59"/>
    <n v="201.31"/>
    <n v="166.73"/>
    <n v="34.58"/>
    <n v="17.18"/>
    <x v="0"/>
    <n v="8.4"/>
    <x v="1"/>
  </r>
  <r>
    <s v="INV00041"/>
    <n v="46061"/>
    <s v="14:19"/>
    <x v="0"/>
    <x v="0"/>
    <x v="1"/>
    <s v="Male"/>
    <x v="0"/>
    <n v="125.25"/>
    <x v="6"/>
    <n v="50.1"/>
    <n v="1052.0999999999999"/>
    <n v="846.74"/>
    <n v="205.36"/>
    <n v="19.52"/>
    <x v="4"/>
    <n v="6.8"/>
    <x v="1"/>
  </r>
  <r>
    <s v="INV00156"/>
    <n v="46061"/>
    <s v="15:00"/>
    <x v="3"/>
    <x v="2"/>
    <x v="0"/>
    <s v="Male"/>
    <x v="1"/>
    <n v="164.52"/>
    <x v="3"/>
    <n v="57.58"/>
    <n v="1209.22"/>
    <n v="919.25"/>
    <n v="289.97000000000003"/>
    <n v="23.98"/>
    <x v="4"/>
    <n v="7.9"/>
    <x v="1"/>
  </r>
  <r>
    <s v="INV00478"/>
    <n v="46061"/>
    <s v="11:50"/>
    <x v="2"/>
    <x v="0"/>
    <x v="0"/>
    <s v="Male"/>
    <x v="1"/>
    <n v="120.73"/>
    <x v="1"/>
    <n v="12.07"/>
    <n v="253.53"/>
    <n v="193.94"/>
    <n v="59.59"/>
    <n v="23.5"/>
    <x v="1"/>
    <n v="8.8000000000000007"/>
    <x v="1"/>
  </r>
  <r>
    <s v="INV00397"/>
    <n v="46062"/>
    <s v="17:14"/>
    <x v="4"/>
    <x v="3"/>
    <x v="1"/>
    <s v="Female"/>
    <x v="3"/>
    <n v="452.94"/>
    <x v="3"/>
    <n v="158.53"/>
    <n v="3329.11"/>
    <n v="2428.0500000000002"/>
    <n v="901.06"/>
    <n v="27.07"/>
    <x v="2"/>
    <n v="8.4"/>
    <x v="1"/>
  </r>
  <r>
    <s v="INV00413"/>
    <n v="46063"/>
    <s v="09:16"/>
    <x v="4"/>
    <x v="3"/>
    <x v="1"/>
    <s v="Female"/>
    <x v="7"/>
    <n v="78.150000000000006"/>
    <x v="0"/>
    <n v="35.17"/>
    <n v="738.52"/>
    <n v="591.16999999999996"/>
    <n v="147.35"/>
    <n v="19.95"/>
    <x v="4"/>
    <n v="9.5"/>
    <x v="1"/>
  </r>
  <r>
    <s v="INV00151"/>
    <n v="46064"/>
    <s v="14:21"/>
    <x v="4"/>
    <x v="3"/>
    <x v="0"/>
    <s v="Male"/>
    <x v="1"/>
    <n v="133.76"/>
    <x v="8"/>
    <n v="66.88"/>
    <n v="1404.48"/>
    <n v="946.43"/>
    <n v="458.05"/>
    <n v="32.61"/>
    <x v="2"/>
    <n v="8"/>
    <x v="1"/>
  </r>
  <r>
    <s v="INV00457"/>
    <n v="46064"/>
    <s v="15:23"/>
    <x v="0"/>
    <x v="0"/>
    <x v="0"/>
    <s v="Male"/>
    <x v="7"/>
    <n v="70.89"/>
    <x v="0"/>
    <n v="31.9"/>
    <n v="669.91"/>
    <n v="558.03"/>
    <n v="111.88"/>
    <n v="16.7"/>
    <x v="4"/>
    <n v="9.6"/>
    <x v="1"/>
  </r>
  <r>
    <s v="INV00020"/>
    <n v="46065"/>
    <s v="16:08"/>
    <x v="3"/>
    <x v="2"/>
    <x v="1"/>
    <s v="Male"/>
    <x v="4"/>
    <n v="222.58"/>
    <x v="1"/>
    <n v="22.26"/>
    <n v="467.42"/>
    <n v="374.52"/>
    <n v="92.9"/>
    <n v="19.88"/>
    <x v="2"/>
    <n v="8.6"/>
    <x v="1"/>
  </r>
  <r>
    <s v="INV00237"/>
    <n v="46065"/>
    <s v="11:01"/>
    <x v="3"/>
    <x v="2"/>
    <x v="0"/>
    <s v="Male"/>
    <x v="3"/>
    <n v="331.75"/>
    <x v="8"/>
    <n v="165.88"/>
    <n v="3483.38"/>
    <n v="2909.43"/>
    <n v="573.95000000000005"/>
    <n v="16.48"/>
    <x v="1"/>
    <n v="5.4"/>
    <x v="1"/>
  </r>
  <r>
    <s v="INV00066"/>
    <n v="46066"/>
    <s v="14:28"/>
    <x v="2"/>
    <x v="0"/>
    <x v="0"/>
    <s v="Female"/>
    <x v="7"/>
    <n v="71.739999999999995"/>
    <x v="2"/>
    <n v="14.35"/>
    <n v="301.31"/>
    <n v="218.68"/>
    <n v="82.63"/>
    <n v="27.42"/>
    <x v="0"/>
    <n v="7.9"/>
    <x v="1"/>
  </r>
  <r>
    <s v="INV00187"/>
    <n v="46067"/>
    <s v="10:42"/>
    <x v="4"/>
    <x v="3"/>
    <x v="0"/>
    <s v="Male"/>
    <x v="7"/>
    <n v="91.05"/>
    <x v="2"/>
    <n v="18.21"/>
    <n v="382.41"/>
    <n v="299.35000000000002"/>
    <n v="83.06"/>
    <n v="21.72"/>
    <x v="4"/>
    <n v="6.5"/>
    <x v="1"/>
  </r>
  <r>
    <s v="INV00280"/>
    <n v="46067"/>
    <s v="18:50"/>
    <x v="4"/>
    <x v="3"/>
    <x v="1"/>
    <s v="Female"/>
    <x v="5"/>
    <n v="115.86"/>
    <x v="8"/>
    <n v="57.93"/>
    <n v="1216.53"/>
    <n v="814.6"/>
    <n v="401.93"/>
    <n v="33.04"/>
    <x v="1"/>
    <n v="8.6999999999999993"/>
    <x v="1"/>
  </r>
  <r>
    <s v="INV00297"/>
    <n v="46067"/>
    <s v="16:45"/>
    <x v="1"/>
    <x v="1"/>
    <x v="1"/>
    <s v="Female"/>
    <x v="0"/>
    <n v="78.33"/>
    <x v="0"/>
    <n v="35.25"/>
    <n v="740.22"/>
    <n v="565.74"/>
    <n v="174.48"/>
    <n v="23.57"/>
    <x v="4"/>
    <n v="6.4"/>
    <x v="1"/>
  </r>
  <r>
    <s v="INV00375"/>
    <n v="46067"/>
    <s v="19:45"/>
    <x v="0"/>
    <x v="0"/>
    <x v="1"/>
    <s v="Female"/>
    <x v="1"/>
    <n v="138.02000000000001"/>
    <x v="7"/>
    <n v="34.51"/>
    <n v="724.61"/>
    <n v="593.86"/>
    <n v="130.75"/>
    <n v="18.04"/>
    <x v="0"/>
    <n v="9.1999999999999993"/>
    <x v="1"/>
  </r>
  <r>
    <s v="INV00399"/>
    <n v="46067"/>
    <s v="14:16"/>
    <x v="1"/>
    <x v="1"/>
    <x v="0"/>
    <s v="Female"/>
    <x v="1"/>
    <n v="144.44999999999999"/>
    <x v="2"/>
    <n v="28.89"/>
    <n v="606.69000000000005"/>
    <n v="435.92"/>
    <n v="170.77"/>
    <n v="28.15"/>
    <x v="2"/>
    <n v="7.9"/>
    <x v="1"/>
  </r>
  <r>
    <s v="INV00469"/>
    <n v="46067"/>
    <s v="15:33"/>
    <x v="0"/>
    <x v="0"/>
    <x v="0"/>
    <s v="Male"/>
    <x v="7"/>
    <n v="126.13"/>
    <x v="6"/>
    <n v="50.45"/>
    <n v="1059.49"/>
    <n v="811.06"/>
    <n v="248.43"/>
    <n v="23.45"/>
    <x v="3"/>
    <n v="8.4"/>
    <x v="1"/>
  </r>
  <r>
    <s v="INV00258"/>
    <n v="46068"/>
    <s v="09:15"/>
    <x v="1"/>
    <x v="1"/>
    <x v="1"/>
    <s v="Female"/>
    <x v="7"/>
    <n v="95.13"/>
    <x v="5"/>
    <n v="28.54"/>
    <n v="599.32000000000005"/>
    <n v="476.4"/>
    <n v="122.92"/>
    <n v="20.51"/>
    <x v="3"/>
    <n v="6.4"/>
    <x v="1"/>
  </r>
  <r>
    <s v="INV00342"/>
    <n v="46068"/>
    <s v="14:06"/>
    <x v="2"/>
    <x v="0"/>
    <x v="1"/>
    <s v="Female"/>
    <x v="5"/>
    <n v="103.45"/>
    <x v="5"/>
    <n v="31.04"/>
    <n v="651.74"/>
    <n v="527.65"/>
    <n v="124.09"/>
    <n v="19.04"/>
    <x v="0"/>
    <n v="8.4"/>
    <x v="1"/>
  </r>
  <r>
    <s v="INV00030"/>
    <n v="46069"/>
    <s v="17:30"/>
    <x v="0"/>
    <x v="0"/>
    <x v="0"/>
    <s v="Male"/>
    <x v="2"/>
    <n v="49.47"/>
    <x v="8"/>
    <n v="24.74"/>
    <n v="519.44000000000005"/>
    <n v="347.31"/>
    <n v="172.13"/>
    <n v="33.14"/>
    <x v="3"/>
    <n v="8.6999999999999993"/>
    <x v="1"/>
  </r>
  <r>
    <s v="INV00380"/>
    <n v="46069"/>
    <s v="20:45"/>
    <x v="3"/>
    <x v="2"/>
    <x v="0"/>
    <s v="Female"/>
    <x v="4"/>
    <n v="201.62"/>
    <x v="2"/>
    <n v="40.32"/>
    <n v="846.8"/>
    <n v="588.94000000000005"/>
    <n v="257.86"/>
    <n v="30.45"/>
    <x v="2"/>
    <n v="7.4"/>
    <x v="1"/>
  </r>
  <r>
    <s v="INV00037"/>
    <n v="46070"/>
    <s v="18:54"/>
    <x v="3"/>
    <x v="2"/>
    <x v="1"/>
    <s v="Male"/>
    <x v="2"/>
    <n v="99.91"/>
    <x v="5"/>
    <n v="29.97"/>
    <n v="629.42999999999995"/>
    <n v="500.2"/>
    <n v="129.22999999999999"/>
    <n v="20.53"/>
    <x v="1"/>
    <n v="9"/>
    <x v="1"/>
  </r>
  <r>
    <s v="INV00476"/>
    <n v="46070"/>
    <s v="09:36"/>
    <x v="4"/>
    <x v="3"/>
    <x v="0"/>
    <s v="Male"/>
    <x v="4"/>
    <n v="187.39"/>
    <x v="0"/>
    <n v="84.33"/>
    <n v="1770.84"/>
    <n v="1283.01"/>
    <n v="487.83"/>
    <n v="27.55"/>
    <x v="2"/>
    <n v="8.9"/>
    <x v="1"/>
  </r>
  <r>
    <s v="INV00217"/>
    <n v="46072"/>
    <s v="10:00"/>
    <x v="3"/>
    <x v="2"/>
    <x v="1"/>
    <s v="Male"/>
    <x v="2"/>
    <n v="67.63"/>
    <x v="7"/>
    <n v="16.91"/>
    <n v="355.06"/>
    <n v="244.84"/>
    <n v="110.22"/>
    <n v="31.04"/>
    <x v="4"/>
    <n v="8.1999999999999993"/>
    <x v="1"/>
  </r>
  <r>
    <s v="INV00385"/>
    <n v="46072"/>
    <s v="14:29"/>
    <x v="1"/>
    <x v="1"/>
    <x v="0"/>
    <s v="Male"/>
    <x v="2"/>
    <n v="85.43"/>
    <x v="9"/>
    <n v="12.81"/>
    <n v="269.10000000000002"/>
    <n v="199.63"/>
    <n v="69.47"/>
    <n v="25.82"/>
    <x v="1"/>
    <n v="8.6999999999999993"/>
    <x v="1"/>
  </r>
  <r>
    <s v="INV00302"/>
    <n v="46073"/>
    <s v="17:59"/>
    <x v="2"/>
    <x v="0"/>
    <x v="0"/>
    <s v="Female"/>
    <x v="4"/>
    <n v="155.15"/>
    <x v="7"/>
    <n v="38.79"/>
    <n v="814.54"/>
    <n v="631.41999999999996"/>
    <n v="183.12"/>
    <n v="22.48"/>
    <x v="2"/>
    <n v="8.8000000000000007"/>
    <x v="1"/>
  </r>
  <r>
    <s v="INV00152"/>
    <n v="46075"/>
    <s v="14:33"/>
    <x v="0"/>
    <x v="0"/>
    <x v="0"/>
    <s v="Female"/>
    <x v="7"/>
    <n v="67.2"/>
    <x v="6"/>
    <n v="26.88"/>
    <n v="564.48"/>
    <n v="422.7"/>
    <n v="141.78"/>
    <n v="25.12"/>
    <x v="4"/>
    <n v="7.2"/>
    <x v="1"/>
  </r>
  <r>
    <s v="INV00293"/>
    <n v="46075"/>
    <s v="17:36"/>
    <x v="4"/>
    <x v="3"/>
    <x v="1"/>
    <s v="Male"/>
    <x v="6"/>
    <n v="245.45"/>
    <x v="2"/>
    <n v="49.09"/>
    <n v="1030.8900000000001"/>
    <n v="816.8"/>
    <n v="214.09"/>
    <n v="20.77"/>
    <x v="2"/>
    <n v="7.7"/>
    <x v="1"/>
  </r>
  <r>
    <s v="INV00335"/>
    <n v="46076"/>
    <s v="09:11"/>
    <x v="0"/>
    <x v="0"/>
    <x v="0"/>
    <s v="Male"/>
    <x v="6"/>
    <n v="206.96"/>
    <x v="7"/>
    <n v="51.74"/>
    <n v="1086.54"/>
    <n v="809.09"/>
    <n v="277.45"/>
    <n v="25.54"/>
    <x v="2"/>
    <n v="8.3000000000000007"/>
    <x v="1"/>
  </r>
  <r>
    <s v="INV00132"/>
    <n v="46077"/>
    <s v="14:34"/>
    <x v="0"/>
    <x v="0"/>
    <x v="1"/>
    <s v="Male"/>
    <x v="0"/>
    <n v="146.97"/>
    <x v="8"/>
    <n v="73.48"/>
    <n v="1543.18"/>
    <n v="1222.26"/>
    <n v="320.92"/>
    <n v="20.8"/>
    <x v="3"/>
    <n v="8.6"/>
    <x v="1"/>
  </r>
  <r>
    <s v="INV00247"/>
    <n v="46078"/>
    <s v="21:32"/>
    <x v="2"/>
    <x v="0"/>
    <x v="1"/>
    <s v="Female"/>
    <x v="3"/>
    <n v="355.78"/>
    <x v="4"/>
    <n v="17.79"/>
    <n v="373.57"/>
    <n v="301.83999999999997"/>
    <n v="71.73"/>
    <n v="19.2"/>
    <x v="0"/>
    <n v="8.4"/>
    <x v="1"/>
  </r>
  <r>
    <s v="INV00371"/>
    <n v="46079"/>
    <s v="21:22"/>
    <x v="0"/>
    <x v="0"/>
    <x v="0"/>
    <s v="Female"/>
    <x v="3"/>
    <n v="409.97"/>
    <x v="4"/>
    <n v="20.5"/>
    <n v="430.47"/>
    <n v="312.62"/>
    <n v="117.85"/>
    <n v="27.38"/>
    <x v="3"/>
    <n v="7.5"/>
    <x v="1"/>
  </r>
  <r>
    <s v="INV00393"/>
    <n v="46079"/>
    <s v="13:10"/>
    <x v="3"/>
    <x v="2"/>
    <x v="1"/>
    <s v="Female"/>
    <x v="2"/>
    <n v="89.28"/>
    <x v="5"/>
    <n v="26.78"/>
    <n v="562.46"/>
    <n v="435.78"/>
    <n v="126.68"/>
    <n v="22.52"/>
    <x v="1"/>
    <n v="6.6"/>
    <x v="1"/>
  </r>
  <r>
    <s v="INV00412"/>
    <n v="46080"/>
    <s v="18:57"/>
    <x v="4"/>
    <x v="3"/>
    <x v="1"/>
    <s v="Male"/>
    <x v="4"/>
    <n v="284.37"/>
    <x v="8"/>
    <n v="142.18"/>
    <n v="2985.88"/>
    <n v="2235.52"/>
    <n v="750.36"/>
    <n v="25.13"/>
    <x v="1"/>
    <n v="7.9"/>
    <x v="1"/>
  </r>
  <r>
    <s v="INV00241"/>
    <n v="46081"/>
    <s v="14:21"/>
    <x v="4"/>
    <x v="3"/>
    <x v="0"/>
    <s v="Female"/>
    <x v="6"/>
    <n v="162.55000000000001"/>
    <x v="2"/>
    <n v="32.51"/>
    <n v="682.71"/>
    <n v="472.77"/>
    <n v="209.94"/>
    <n v="30.75"/>
    <x v="3"/>
    <n v="8.6999999999999993"/>
    <x v="1"/>
  </r>
  <r>
    <s v="INV00194"/>
    <n v="46082"/>
    <s v="12:23"/>
    <x v="2"/>
    <x v="0"/>
    <x v="0"/>
    <s v="Male"/>
    <x v="4"/>
    <n v="276.55"/>
    <x v="5"/>
    <n v="82.97"/>
    <n v="1742.27"/>
    <n v="1265.1400000000001"/>
    <n v="477.13"/>
    <n v="27.39"/>
    <x v="1"/>
    <n v="7.8"/>
    <x v="2"/>
  </r>
  <r>
    <s v="INV00243"/>
    <n v="46085"/>
    <s v="09:53"/>
    <x v="4"/>
    <x v="3"/>
    <x v="0"/>
    <s v="Female"/>
    <x v="2"/>
    <n v="88.16"/>
    <x v="0"/>
    <n v="39.67"/>
    <n v="833.11"/>
    <n v="621.66999999999996"/>
    <n v="211.44"/>
    <n v="25.38"/>
    <x v="1"/>
    <n v="7"/>
    <x v="2"/>
  </r>
  <r>
    <s v="INV00283"/>
    <n v="46085"/>
    <s v="19:27"/>
    <x v="3"/>
    <x v="2"/>
    <x v="1"/>
    <s v="Male"/>
    <x v="4"/>
    <n v="186"/>
    <x v="1"/>
    <n v="18.600000000000001"/>
    <n v="390.6"/>
    <n v="281.08999999999997"/>
    <n v="109.51"/>
    <n v="28.04"/>
    <x v="2"/>
    <n v="8.6999999999999993"/>
    <x v="2"/>
  </r>
  <r>
    <s v="INV00357"/>
    <n v="46086"/>
    <s v="21:19"/>
    <x v="0"/>
    <x v="0"/>
    <x v="0"/>
    <s v="Female"/>
    <x v="1"/>
    <n v="99.68"/>
    <x v="3"/>
    <n v="34.89"/>
    <n v="732.65"/>
    <n v="611.04"/>
    <n v="121.61"/>
    <n v="16.600000000000001"/>
    <x v="3"/>
    <n v="8.6"/>
    <x v="2"/>
  </r>
  <r>
    <s v="INV00353"/>
    <n v="46087"/>
    <s v="19:25"/>
    <x v="1"/>
    <x v="1"/>
    <x v="1"/>
    <s v="Male"/>
    <x v="4"/>
    <n v="262.27"/>
    <x v="4"/>
    <n v="13.11"/>
    <n v="275.38"/>
    <n v="195.22"/>
    <n v="80.16"/>
    <n v="29.11"/>
    <x v="4"/>
    <n v="7.4"/>
    <x v="2"/>
  </r>
  <r>
    <s v="INV00048"/>
    <n v="46088"/>
    <s v="15:34"/>
    <x v="2"/>
    <x v="0"/>
    <x v="1"/>
    <s v="Female"/>
    <x v="5"/>
    <n v="54.35"/>
    <x v="3"/>
    <n v="19.02"/>
    <n v="399.47"/>
    <n v="271.56"/>
    <n v="127.91"/>
    <n v="32.020000000000003"/>
    <x v="4"/>
    <n v="8.3000000000000007"/>
    <x v="2"/>
  </r>
  <r>
    <s v="INV00278"/>
    <n v="46088"/>
    <s v="09:09"/>
    <x v="1"/>
    <x v="1"/>
    <x v="0"/>
    <s v="Female"/>
    <x v="2"/>
    <n v="99.12"/>
    <x v="4"/>
    <n v="4.96"/>
    <n v="104.08"/>
    <n v="74.95"/>
    <n v="29.13"/>
    <n v="27.99"/>
    <x v="0"/>
    <n v="6.5"/>
    <x v="2"/>
  </r>
  <r>
    <s v="INV00421"/>
    <n v="46088"/>
    <s v="12:17"/>
    <x v="4"/>
    <x v="3"/>
    <x v="1"/>
    <s v="Male"/>
    <x v="2"/>
    <n v="81.61"/>
    <x v="9"/>
    <n v="12.24"/>
    <n v="257.07"/>
    <n v="188.82"/>
    <n v="68.25"/>
    <n v="26.55"/>
    <x v="1"/>
    <n v="5.0999999999999996"/>
    <x v="2"/>
  </r>
  <r>
    <s v="INV00177"/>
    <n v="46089"/>
    <s v="14:50"/>
    <x v="1"/>
    <x v="1"/>
    <x v="0"/>
    <s v="Female"/>
    <x v="1"/>
    <n v="107.72"/>
    <x v="6"/>
    <n v="43.09"/>
    <n v="904.85"/>
    <n v="661.13"/>
    <n v="243.72"/>
    <n v="26.93"/>
    <x v="1"/>
    <n v="8.9"/>
    <x v="2"/>
  </r>
  <r>
    <s v="INV00260"/>
    <n v="46089"/>
    <s v="15:15"/>
    <x v="0"/>
    <x v="0"/>
    <x v="0"/>
    <s v="Male"/>
    <x v="2"/>
    <n v="95.51"/>
    <x v="3"/>
    <n v="33.43"/>
    <n v="702"/>
    <n v="553.05999999999995"/>
    <n v="148.94"/>
    <n v="21.22"/>
    <x v="2"/>
    <n v="5.9"/>
    <x v="2"/>
  </r>
  <r>
    <s v="INV00115"/>
    <n v="46090"/>
    <s v="21:31"/>
    <x v="2"/>
    <x v="0"/>
    <x v="0"/>
    <s v="Female"/>
    <x v="0"/>
    <n v="122.29"/>
    <x v="2"/>
    <n v="24.46"/>
    <n v="513.62"/>
    <n v="381.07"/>
    <n v="132.55000000000001"/>
    <n v="25.81"/>
    <x v="0"/>
    <n v="7.4"/>
    <x v="2"/>
  </r>
  <r>
    <s v="INV00257"/>
    <n v="46090"/>
    <s v="15:57"/>
    <x v="4"/>
    <x v="3"/>
    <x v="1"/>
    <s v="Female"/>
    <x v="7"/>
    <n v="126.65"/>
    <x v="3"/>
    <n v="44.33"/>
    <n v="930.88"/>
    <n v="635.64"/>
    <n v="295.24"/>
    <n v="31.72"/>
    <x v="2"/>
    <n v="6.4"/>
    <x v="2"/>
  </r>
  <r>
    <s v="INV00065"/>
    <n v="46092"/>
    <s v="10:22"/>
    <x v="3"/>
    <x v="2"/>
    <x v="1"/>
    <s v="Female"/>
    <x v="3"/>
    <n v="462.16"/>
    <x v="6"/>
    <n v="184.86"/>
    <n v="3882.14"/>
    <n v="3176.66"/>
    <n v="705.48"/>
    <n v="18.170000000000002"/>
    <x v="4"/>
    <n v="7.6"/>
    <x v="2"/>
  </r>
  <r>
    <s v="INV00473"/>
    <n v="46092"/>
    <s v="15:39"/>
    <x v="0"/>
    <x v="0"/>
    <x v="0"/>
    <s v="Female"/>
    <x v="2"/>
    <n v="89.2"/>
    <x v="3"/>
    <n v="31.22"/>
    <n v="655.62"/>
    <n v="465.49"/>
    <n v="190.13"/>
    <n v="29"/>
    <x v="4"/>
    <n v="8.6"/>
    <x v="2"/>
  </r>
  <r>
    <s v="INV00008"/>
    <n v="46093"/>
    <s v="18:44"/>
    <x v="4"/>
    <x v="3"/>
    <x v="0"/>
    <s v="Male"/>
    <x v="2"/>
    <n v="69.599999999999994"/>
    <x v="0"/>
    <n v="31.32"/>
    <n v="657.72"/>
    <n v="442.43"/>
    <n v="215.29"/>
    <n v="32.729999999999997"/>
    <x v="2"/>
    <n v="7.8"/>
    <x v="2"/>
  </r>
  <r>
    <s v="INV00197"/>
    <n v="46093"/>
    <s v="14:48"/>
    <x v="1"/>
    <x v="1"/>
    <x v="0"/>
    <s v="Female"/>
    <x v="4"/>
    <n v="180.07"/>
    <x v="0"/>
    <n v="81.03"/>
    <n v="1701.66"/>
    <n v="1209.77"/>
    <n v="491.89"/>
    <n v="28.91"/>
    <x v="2"/>
    <n v="8.6999999999999993"/>
    <x v="2"/>
  </r>
  <r>
    <s v="INV00199"/>
    <n v="46093"/>
    <s v="15:18"/>
    <x v="4"/>
    <x v="3"/>
    <x v="0"/>
    <s v="Male"/>
    <x v="4"/>
    <n v="146.18"/>
    <x v="6"/>
    <n v="58.47"/>
    <n v="1227.9100000000001"/>
    <n v="909.79"/>
    <n v="318.12"/>
    <n v="25.91"/>
    <x v="4"/>
    <n v="7.5"/>
    <x v="2"/>
  </r>
  <r>
    <s v="INV00343"/>
    <n v="46094"/>
    <s v="12:15"/>
    <x v="0"/>
    <x v="0"/>
    <x v="0"/>
    <s v="Female"/>
    <x v="4"/>
    <n v="229.32"/>
    <x v="6"/>
    <n v="91.73"/>
    <n v="1926.29"/>
    <n v="1496.38"/>
    <n v="429.91"/>
    <n v="22.32"/>
    <x v="4"/>
    <n v="8.1999999999999993"/>
    <x v="2"/>
  </r>
  <r>
    <s v="INV00455"/>
    <n v="46095"/>
    <s v="16:05"/>
    <x v="0"/>
    <x v="0"/>
    <x v="1"/>
    <s v="Male"/>
    <x v="6"/>
    <n v="234.23"/>
    <x v="2"/>
    <n v="46.85"/>
    <n v="983.77"/>
    <n v="802.5"/>
    <n v="181.27"/>
    <n v="18.43"/>
    <x v="1"/>
    <n v="5.4"/>
    <x v="2"/>
  </r>
  <r>
    <s v="INV00487"/>
    <n v="46095"/>
    <s v="18:25"/>
    <x v="0"/>
    <x v="0"/>
    <x v="1"/>
    <s v="Female"/>
    <x v="5"/>
    <n v="115.44"/>
    <x v="1"/>
    <n v="11.54"/>
    <n v="242.42"/>
    <n v="187.53"/>
    <n v="54.89"/>
    <n v="22.64"/>
    <x v="0"/>
    <n v="6.4"/>
    <x v="2"/>
  </r>
  <r>
    <s v="INV00155"/>
    <n v="46096"/>
    <s v="09:17"/>
    <x v="4"/>
    <x v="3"/>
    <x v="0"/>
    <s v="Male"/>
    <x v="6"/>
    <n v="220.46"/>
    <x v="2"/>
    <n v="44.09"/>
    <n v="925.93"/>
    <n v="751.88"/>
    <n v="174.05"/>
    <n v="18.8"/>
    <x v="3"/>
    <n v="6"/>
    <x v="2"/>
  </r>
  <r>
    <s v="INV00415"/>
    <n v="46097"/>
    <s v="11:00"/>
    <x v="2"/>
    <x v="0"/>
    <x v="1"/>
    <s v="Male"/>
    <x v="7"/>
    <n v="107.94"/>
    <x v="5"/>
    <n v="32.380000000000003"/>
    <n v="680.02"/>
    <n v="489.68"/>
    <n v="190.34"/>
    <n v="27.99"/>
    <x v="2"/>
    <n v="7.1"/>
    <x v="2"/>
  </r>
  <r>
    <s v="INV00419"/>
    <n v="46097"/>
    <s v="18:20"/>
    <x v="1"/>
    <x v="1"/>
    <x v="1"/>
    <s v="Female"/>
    <x v="2"/>
    <n v="86.86"/>
    <x v="2"/>
    <n v="17.37"/>
    <n v="364.81"/>
    <n v="270.83"/>
    <n v="93.98"/>
    <n v="25.76"/>
    <x v="1"/>
    <n v="5.0999999999999996"/>
    <x v="2"/>
  </r>
  <r>
    <s v="INV00087"/>
    <n v="46098"/>
    <s v="16:06"/>
    <x v="1"/>
    <x v="1"/>
    <x v="0"/>
    <s v="Female"/>
    <x v="1"/>
    <n v="147.16999999999999"/>
    <x v="6"/>
    <n v="58.87"/>
    <n v="1236.23"/>
    <n v="849.9"/>
    <n v="386.33"/>
    <n v="31.25"/>
    <x v="4"/>
    <n v="6.6"/>
    <x v="2"/>
  </r>
  <r>
    <s v="INV00284"/>
    <n v="46098"/>
    <s v="09:45"/>
    <x v="0"/>
    <x v="0"/>
    <x v="1"/>
    <s v="Female"/>
    <x v="3"/>
    <n v="211.66"/>
    <x v="4"/>
    <n v="10.58"/>
    <n v="222.24"/>
    <n v="153.22"/>
    <n v="69.02"/>
    <n v="31.06"/>
    <x v="0"/>
    <n v="8.1"/>
    <x v="2"/>
  </r>
  <r>
    <s v="INV00310"/>
    <n v="46098"/>
    <s v="15:28"/>
    <x v="3"/>
    <x v="2"/>
    <x v="0"/>
    <s v="Female"/>
    <x v="1"/>
    <n v="152.32"/>
    <x v="0"/>
    <n v="68.540000000000006"/>
    <n v="1439.42"/>
    <n v="1193.8399999999999"/>
    <n v="245.58"/>
    <n v="17.059999999999999"/>
    <x v="2"/>
    <n v="8"/>
    <x v="2"/>
  </r>
  <r>
    <s v="INV00174"/>
    <n v="46099"/>
    <s v="21:41"/>
    <x v="0"/>
    <x v="0"/>
    <x v="1"/>
    <s v="Female"/>
    <x v="7"/>
    <n v="96.6"/>
    <x v="2"/>
    <n v="19.32"/>
    <n v="405.72"/>
    <n v="296.86"/>
    <n v="108.86"/>
    <n v="26.83"/>
    <x v="4"/>
    <n v="8.3000000000000007"/>
    <x v="2"/>
  </r>
  <r>
    <s v="INV00191"/>
    <n v="46099"/>
    <s v="20:41"/>
    <x v="0"/>
    <x v="0"/>
    <x v="1"/>
    <s v="Female"/>
    <x v="3"/>
    <n v="349.75"/>
    <x v="0"/>
    <n v="157.38999999999999"/>
    <n v="3305.14"/>
    <n v="2607.54"/>
    <n v="697.6"/>
    <n v="21.11"/>
    <x v="4"/>
    <n v="7.1"/>
    <x v="2"/>
  </r>
  <r>
    <s v="INV00196"/>
    <n v="46099"/>
    <s v="16:00"/>
    <x v="3"/>
    <x v="2"/>
    <x v="0"/>
    <s v="Female"/>
    <x v="7"/>
    <n v="84.73"/>
    <x v="7"/>
    <n v="21.18"/>
    <n v="444.83"/>
    <n v="308.66000000000003"/>
    <n v="136.16999999999999"/>
    <n v="30.61"/>
    <x v="2"/>
    <n v="6.8"/>
    <x v="2"/>
  </r>
  <r>
    <s v="INV00332"/>
    <n v="46099"/>
    <s v="10:32"/>
    <x v="1"/>
    <x v="1"/>
    <x v="0"/>
    <s v="Female"/>
    <x v="6"/>
    <n v="251.77"/>
    <x v="4"/>
    <n v="12.59"/>
    <n v="264.36"/>
    <n v="177.37"/>
    <n v="86.99"/>
    <n v="32.909999999999997"/>
    <x v="4"/>
    <n v="7.6"/>
    <x v="2"/>
  </r>
  <r>
    <s v="INV00364"/>
    <n v="46099"/>
    <s v="09:12"/>
    <x v="2"/>
    <x v="0"/>
    <x v="0"/>
    <s v="Female"/>
    <x v="6"/>
    <n v="229.9"/>
    <x v="1"/>
    <n v="22.99"/>
    <n v="482.79"/>
    <n v="339.76"/>
    <n v="143.03"/>
    <n v="29.63"/>
    <x v="0"/>
    <n v="9.6999999999999993"/>
    <x v="2"/>
  </r>
  <r>
    <s v="INV00400"/>
    <n v="46099"/>
    <s v="18:20"/>
    <x v="1"/>
    <x v="1"/>
    <x v="0"/>
    <s v="Female"/>
    <x v="1"/>
    <n v="147.34"/>
    <x v="0"/>
    <n v="66.3"/>
    <n v="1392.36"/>
    <n v="1161.05"/>
    <n v="231.31"/>
    <n v="16.61"/>
    <x v="3"/>
    <n v="7.3"/>
    <x v="2"/>
  </r>
  <r>
    <s v="INV00023"/>
    <n v="46100"/>
    <s v="16:59"/>
    <x v="3"/>
    <x v="2"/>
    <x v="0"/>
    <s v="Female"/>
    <x v="0"/>
    <n v="114.41"/>
    <x v="8"/>
    <n v="57.2"/>
    <n v="1201.3"/>
    <n v="922.42"/>
    <n v="278.88"/>
    <n v="23.21"/>
    <x v="0"/>
    <n v="7.1"/>
    <x v="2"/>
  </r>
  <r>
    <s v="INV00195"/>
    <n v="46100"/>
    <s v="19:37"/>
    <x v="3"/>
    <x v="2"/>
    <x v="1"/>
    <s v="Female"/>
    <x v="1"/>
    <n v="145.34"/>
    <x v="5"/>
    <n v="43.6"/>
    <n v="915.64"/>
    <n v="671.76"/>
    <n v="243.88"/>
    <n v="26.63"/>
    <x v="3"/>
    <n v="7.2"/>
    <x v="2"/>
  </r>
  <r>
    <s v="INV00224"/>
    <n v="46100"/>
    <s v="20:58"/>
    <x v="3"/>
    <x v="2"/>
    <x v="0"/>
    <s v="Male"/>
    <x v="2"/>
    <n v="85.94"/>
    <x v="6"/>
    <n v="34.380000000000003"/>
    <n v="721.9"/>
    <n v="560.07000000000005"/>
    <n v="161.83000000000001"/>
    <n v="22.42"/>
    <x v="2"/>
    <n v="9"/>
    <x v="2"/>
  </r>
  <r>
    <s v="INV00238"/>
    <n v="46100"/>
    <s v="18:49"/>
    <x v="0"/>
    <x v="0"/>
    <x v="1"/>
    <s v="Male"/>
    <x v="2"/>
    <n v="93.86"/>
    <x v="5"/>
    <n v="28.16"/>
    <n v="591.32000000000005"/>
    <n v="473.96"/>
    <n v="117.36"/>
    <n v="19.850000000000001"/>
    <x v="2"/>
    <n v="6.8"/>
    <x v="2"/>
  </r>
  <r>
    <s v="INV00330"/>
    <n v="46102"/>
    <s v="10:31"/>
    <x v="3"/>
    <x v="2"/>
    <x v="1"/>
    <s v="Female"/>
    <x v="6"/>
    <n v="216.13"/>
    <x v="2"/>
    <n v="43.23"/>
    <n v="907.75"/>
    <n v="614.59"/>
    <n v="293.16000000000003"/>
    <n v="32.299999999999997"/>
    <x v="3"/>
    <n v="10"/>
    <x v="2"/>
  </r>
  <r>
    <s v="INV00461"/>
    <n v="46102"/>
    <s v="12:31"/>
    <x v="0"/>
    <x v="0"/>
    <x v="1"/>
    <s v="Female"/>
    <x v="1"/>
    <n v="183.93"/>
    <x v="9"/>
    <n v="27.59"/>
    <n v="579.38"/>
    <n v="399.33"/>
    <n v="180.05"/>
    <n v="31.08"/>
    <x v="3"/>
    <n v="7.6"/>
    <x v="2"/>
  </r>
  <r>
    <s v="INV00275"/>
    <n v="46104"/>
    <s v="18:33"/>
    <x v="2"/>
    <x v="0"/>
    <x v="1"/>
    <s v="Female"/>
    <x v="2"/>
    <n v="90.55"/>
    <x v="4"/>
    <n v="4.53"/>
    <n v="95.08"/>
    <n v="70"/>
    <n v="25.08"/>
    <n v="26.38"/>
    <x v="2"/>
    <n v="7"/>
    <x v="2"/>
  </r>
  <r>
    <s v="INV00277"/>
    <n v="46104"/>
    <s v="20:16"/>
    <x v="4"/>
    <x v="3"/>
    <x v="1"/>
    <s v="Male"/>
    <x v="4"/>
    <n v="171.9"/>
    <x v="4"/>
    <n v="8.6"/>
    <n v="180.5"/>
    <n v="122.81"/>
    <n v="57.69"/>
    <n v="31.96"/>
    <x v="1"/>
    <n v="6.2"/>
    <x v="2"/>
  </r>
  <r>
    <s v="INV00309"/>
    <n v="46104"/>
    <s v="13:17"/>
    <x v="4"/>
    <x v="3"/>
    <x v="1"/>
    <s v="Male"/>
    <x v="6"/>
    <n v="131.63"/>
    <x v="8"/>
    <n v="65.819999999999993"/>
    <n v="1382.12"/>
    <n v="1040.83"/>
    <n v="341.29"/>
    <n v="24.69"/>
    <x v="1"/>
    <n v="7.1"/>
    <x v="2"/>
  </r>
  <r>
    <s v="INV00164"/>
    <n v="46105"/>
    <s v="15:35"/>
    <x v="2"/>
    <x v="0"/>
    <x v="0"/>
    <s v="Male"/>
    <x v="4"/>
    <n v="141.13"/>
    <x v="3"/>
    <n v="49.4"/>
    <n v="1037.31"/>
    <n v="770.92"/>
    <n v="266.39"/>
    <n v="25.68"/>
    <x v="2"/>
    <n v="6.7"/>
    <x v="2"/>
  </r>
  <r>
    <s v="INV00181"/>
    <n v="46106"/>
    <s v="16:17"/>
    <x v="3"/>
    <x v="2"/>
    <x v="0"/>
    <s v="Male"/>
    <x v="2"/>
    <n v="79.260000000000005"/>
    <x v="1"/>
    <n v="7.93"/>
    <n v="166.45"/>
    <n v="112.35"/>
    <n v="54.1"/>
    <n v="32.5"/>
    <x v="1"/>
    <n v="6.8"/>
    <x v="2"/>
  </r>
  <r>
    <s v="INV00387"/>
    <n v="46106"/>
    <s v="16:06"/>
    <x v="3"/>
    <x v="2"/>
    <x v="0"/>
    <s v="Male"/>
    <x v="5"/>
    <n v="113.83"/>
    <x v="1"/>
    <n v="11.38"/>
    <n v="239.04"/>
    <n v="199.74"/>
    <n v="39.299999999999997"/>
    <n v="16.440000000000001"/>
    <x v="4"/>
    <n v="8.6999999999999993"/>
    <x v="2"/>
  </r>
  <r>
    <s v="INV00131"/>
    <n v="46107"/>
    <s v="13:52"/>
    <x v="3"/>
    <x v="2"/>
    <x v="0"/>
    <s v="Female"/>
    <x v="5"/>
    <n v="104.64"/>
    <x v="7"/>
    <n v="26.16"/>
    <n v="549.36"/>
    <n v="449.26"/>
    <n v="100.1"/>
    <n v="18.22"/>
    <x v="1"/>
    <n v="8.4"/>
    <x v="2"/>
  </r>
  <r>
    <s v="INV00185"/>
    <n v="46107"/>
    <s v="09:03"/>
    <x v="3"/>
    <x v="2"/>
    <x v="1"/>
    <s v="Female"/>
    <x v="0"/>
    <n v="156.08000000000001"/>
    <x v="7"/>
    <n v="39.020000000000003"/>
    <n v="819.42"/>
    <n v="619.48"/>
    <n v="199.94"/>
    <n v="24.4"/>
    <x v="1"/>
    <n v="10"/>
    <x v="2"/>
  </r>
  <r>
    <s v="INV00347"/>
    <n v="46107"/>
    <s v="14:15"/>
    <x v="2"/>
    <x v="0"/>
    <x v="1"/>
    <s v="Female"/>
    <x v="1"/>
    <n v="125.73"/>
    <x v="9"/>
    <n v="18.86"/>
    <n v="396.05"/>
    <n v="304.37"/>
    <n v="91.68"/>
    <n v="23.15"/>
    <x v="1"/>
    <n v="6.9"/>
    <x v="2"/>
  </r>
  <r>
    <s v="INV00350"/>
    <n v="46107"/>
    <s v="20:05"/>
    <x v="2"/>
    <x v="0"/>
    <x v="1"/>
    <s v="Male"/>
    <x v="7"/>
    <n v="71.92"/>
    <x v="1"/>
    <n v="7.19"/>
    <n v="151.03"/>
    <n v="106.66"/>
    <n v="44.37"/>
    <n v="29.38"/>
    <x v="2"/>
    <n v="7.2"/>
    <x v="2"/>
  </r>
  <r>
    <s v="INV00069"/>
    <n v="46108"/>
    <s v="16:10"/>
    <x v="0"/>
    <x v="0"/>
    <x v="1"/>
    <s v="Female"/>
    <x v="0"/>
    <n v="108.62"/>
    <x v="4"/>
    <n v="5.43"/>
    <n v="114.05"/>
    <n v="76.290000000000006"/>
    <n v="37.76"/>
    <n v="33.11"/>
    <x v="1"/>
    <n v="7"/>
    <x v="2"/>
  </r>
  <r>
    <s v="INV00061"/>
    <n v="46109"/>
    <s v="15:26"/>
    <x v="3"/>
    <x v="2"/>
    <x v="0"/>
    <s v="Female"/>
    <x v="5"/>
    <n v="84.47"/>
    <x v="1"/>
    <n v="8.4499999999999993"/>
    <n v="177.39"/>
    <n v="143.46"/>
    <n v="33.93"/>
    <n v="19.13"/>
    <x v="1"/>
    <n v="6.8"/>
    <x v="2"/>
  </r>
  <r>
    <s v="INV00189"/>
    <n v="46109"/>
    <s v="18:13"/>
    <x v="2"/>
    <x v="0"/>
    <x v="1"/>
    <s v="Female"/>
    <x v="2"/>
    <n v="75.819999999999993"/>
    <x v="7"/>
    <n v="18.95"/>
    <n v="398.05"/>
    <n v="266.37"/>
    <n v="131.68"/>
    <n v="33.08"/>
    <x v="2"/>
    <n v="8.1999999999999993"/>
    <x v="2"/>
  </r>
  <r>
    <s v="INV00334"/>
    <n v="46109"/>
    <s v="09:43"/>
    <x v="0"/>
    <x v="0"/>
    <x v="0"/>
    <s v="Female"/>
    <x v="4"/>
    <n v="211.99"/>
    <x v="7"/>
    <n v="53"/>
    <n v="1112.95"/>
    <n v="828.5"/>
    <n v="284.45"/>
    <n v="25.56"/>
    <x v="0"/>
    <n v="6.9"/>
    <x v="2"/>
  </r>
  <r>
    <s v="INV00358"/>
    <n v="46109"/>
    <s v="11:51"/>
    <x v="2"/>
    <x v="0"/>
    <x v="1"/>
    <s v="Male"/>
    <x v="6"/>
    <n v="161.12"/>
    <x v="3"/>
    <n v="56.39"/>
    <n v="1184.23"/>
    <n v="928.24"/>
    <n v="255.99"/>
    <n v="21.62"/>
    <x v="0"/>
    <n v="6"/>
    <x v="2"/>
  </r>
  <r>
    <s v="INV00367"/>
    <n v="46109"/>
    <s v="13:27"/>
    <x v="4"/>
    <x v="3"/>
    <x v="0"/>
    <s v="Male"/>
    <x v="4"/>
    <n v="197.02"/>
    <x v="0"/>
    <n v="88.66"/>
    <n v="1861.84"/>
    <n v="1438.79"/>
    <n v="423.05"/>
    <n v="22.72"/>
    <x v="2"/>
    <n v="7.5"/>
    <x v="2"/>
  </r>
  <r>
    <s v="INV00402"/>
    <n v="46109"/>
    <s v="17:10"/>
    <x v="4"/>
    <x v="3"/>
    <x v="1"/>
    <s v="Female"/>
    <x v="1"/>
    <n v="137.02000000000001"/>
    <x v="2"/>
    <n v="27.4"/>
    <n v="575.48"/>
    <n v="472.27"/>
    <n v="103.21"/>
    <n v="17.93"/>
    <x v="4"/>
    <n v="8.6"/>
    <x v="2"/>
  </r>
  <r>
    <s v="INV00378"/>
    <n v="46110"/>
    <s v="10:35"/>
    <x v="0"/>
    <x v="0"/>
    <x v="1"/>
    <s v="Female"/>
    <x v="5"/>
    <n v="95.97"/>
    <x v="1"/>
    <n v="9.6"/>
    <n v="201.54"/>
    <n v="161.63"/>
    <n v="39.909999999999997"/>
    <n v="19.8"/>
    <x v="4"/>
    <n v="8"/>
    <x v="2"/>
  </r>
  <r>
    <s v="INV00433"/>
    <n v="46110"/>
    <s v="13:19"/>
    <x v="2"/>
    <x v="0"/>
    <x v="1"/>
    <s v="Male"/>
    <x v="0"/>
    <n v="72.790000000000006"/>
    <x v="0"/>
    <n v="32.76"/>
    <n v="687.87"/>
    <n v="524.91"/>
    <n v="162.96"/>
    <n v="23.69"/>
    <x v="4"/>
    <n v="7.2"/>
    <x v="2"/>
  </r>
  <r>
    <s v="INV00485"/>
    <n v="46110"/>
    <s v="12:48"/>
    <x v="2"/>
    <x v="0"/>
    <x v="1"/>
    <s v="Female"/>
    <x v="2"/>
    <n v="98.29"/>
    <x v="3"/>
    <n v="34.4"/>
    <n v="722.43"/>
    <n v="554.55999999999995"/>
    <n v="167.87"/>
    <n v="23.24"/>
    <x v="1"/>
    <n v="6.6"/>
    <x v="2"/>
  </r>
  <r>
    <s v="INV00219"/>
    <n v="46111"/>
    <s v="21:05"/>
    <x v="1"/>
    <x v="1"/>
    <x v="0"/>
    <s v="Male"/>
    <x v="1"/>
    <n v="149.41"/>
    <x v="9"/>
    <n v="22.41"/>
    <n v="470.64"/>
    <n v="350.13"/>
    <n v="120.51"/>
    <n v="25.61"/>
    <x v="4"/>
    <n v="8"/>
    <x v="2"/>
  </r>
  <r>
    <s v="INV00445"/>
    <n v="46111"/>
    <s v="14:37"/>
    <x v="4"/>
    <x v="3"/>
    <x v="0"/>
    <s v="Female"/>
    <x v="4"/>
    <n v="298.37"/>
    <x v="0"/>
    <n v="134.27000000000001"/>
    <n v="2819.6"/>
    <n v="1939.3"/>
    <n v="880.3"/>
    <n v="31.22"/>
    <x v="4"/>
    <n v="6.4"/>
    <x v="2"/>
  </r>
  <r>
    <s v="INV00467"/>
    <n v="46111"/>
    <s v="18:25"/>
    <x v="3"/>
    <x v="2"/>
    <x v="0"/>
    <s v="Male"/>
    <x v="5"/>
    <n v="93.37"/>
    <x v="1"/>
    <n v="9.34"/>
    <n v="196.08"/>
    <n v="161.08000000000001"/>
    <n v="35"/>
    <n v="17.850000000000001"/>
    <x v="3"/>
    <n v="8"/>
    <x v="2"/>
  </r>
  <r>
    <s v="INV00054"/>
    <n v="46112"/>
    <s v="17:15"/>
    <x v="4"/>
    <x v="3"/>
    <x v="0"/>
    <s v="Female"/>
    <x v="7"/>
    <n v="84.06"/>
    <x v="5"/>
    <n v="25.22"/>
    <n v="529.58000000000004"/>
    <n v="410.45"/>
    <n v="119.13"/>
    <n v="22.5"/>
    <x v="4"/>
    <n v="7.3"/>
    <x v="2"/>
  </r>
  <r>
    <s v="INV00060"/>
    <n v="46112"/>
    <s v="21:12"/>
    <x v="3"/>
    <x v="2"/>
    <x v="0"/>
    <s v="Female"/>
    <x v="7"/>
    <n v="87.99"/>
    <x v="1"/>
    <n v="8.8000000000000007"/>
    <n v="184.78"/>
    <n v="125.65"/>
    <n v="59.13"/>
    <n v="32"/>
    <x v="4"/>
    <n v="5.2"/>
    <x v="2"/>
  </r>
  <r>
    <s v="INV00062"/>
    <n v="46112"/>
    <s v="18:33"/>
    <x v="3"/>
    <x v="2"/>
    <x v="0"/>
    <s v="Female"/>
    <x v="4"/>
    <n v="283.37"/>
    <x v="3"/>
    <n v="99.18"/>
    <n v="2082.77"/>
    <n v="1513.08"/>
    <n v="569.69000000000005"/>
    <n v="27.35"/>
    <x v="3"/>
    <n v="8.6999999999999993"/>
    <x v="2"/>
  </r>
  <r>
    <s v="INV00396"/>
    <n v="46112"/>
    <s v="13:36"/>
    <x v="4"/>
    <x v="3"/>
    <x v="0"/>
    <s v="Male"/>
    <x v="4"/>
    <n v="196.99"/>
    <x v="3"/>
    <n v="68.95"/>
    <n v="1447.88"/>
    <n v="1170.42"/>
    <n v="277.45999999999998"/>
    <n v="19.16"/>
    <x v="3"/>
    <n v="7.5"/>
    <x v="2"/>
  </r>
  <r>
    <s v="INV00374"/>
    <n v="46113"/>
    <s v="12:19"/>
    <x v="1"/>
    <x v="1"/>
    <x v="1"/>
    <s v="Male"/>
    <x v="3"/>
    <n v="440.95"/>
    <x v="8"/>
    <n v="220.48"/>
    <n v="4629.9799999999996"/>
    <n v="3617.89"/>
    <n v="1012.09"/>
    <n v="21.86"/>
    <x v="2"/>
    <n v="8.1999999999999993"/>
    <x v="3"/>
  </r>
  <r>
    <s v="INV00388"/>
    <n v="46113"/>
    <s v="11:05"/>
    <x v="0"/>
    <x v="0"/>
    <x v="1"/>
    <s v="Male"/>
    <x v="4"/>
    <n v="264.35000000000002"/>
    <x v="0"/>
    <n v="118.96"/>
    <n v="2498.11"/>
    <n v="1736.5"/>
    <n v="761.61"/>
    <n v="30.49"/>
    <x v="1"/>
    <n v="7"/>
    <x v="3"/>
  </r>
  <r>
    <s v="INV00390"/>
    <n v="46113"/>
    <s v="13:42"/>
    <x v="4"/>
    <x v="3"/>
    <x v="1"/>
    <s v="Female"/>
    <x v="4"/>
    <n v="254.53"/>
    <x v="1"/>
    <n v="25.45"/>
    <n v="534.51"/>
    <n v="357.14"/>
    <n v="177.37"/>
    <n v="33.18"/>
    <x v="3"/>
    <n v="9.9"/>
    <x v="3"/>
  </r>
  <r>
    <s v="INV00166"/>
    <n v="46114"/>
    <s v="10:22"/>
    <x v="4"/>
    <x v="3"/>
    <x v="0"/>
    <s v="Male"/>
    <x v="4"/>
    <n v="298.45"/>
    <x v="2"/>
    <n v="59.69"/>
    <n v="1253.49"/>
    <n v="992.36"/>
    <n v="261.13"/>
    <n v="20.83"/>
    <x v="1"/>
    <n v="7.8"/>
    <x v="3"/>
  </r>
  <r>
    <s v="INV00245"/>
    <n v="46114"/>
    <s v="14:18"/>
    <x v="0"/>
    <x v="0"/>
    <x v="0"/>
    <s v="Female"/>
    <x v="4"/>
    <n v="222.39"/>
    <x v="7"/>
    <n v="55.6"/>
    <n v="1167.55"/>
    <n v="861.48"/>
    <n v="306.07"/>
    <n v="26.21"/>
    <x v="3"/>
    <n v="5.4"/>
    <x v="3"/>
  </r>
  <r>
    <s v="INV00313"/>
    <n v="46114"/>
    <s v="10:41"/>
    <x v="0"/>
    <x v="0"/>
    <x v="1"/>
    <s v="Male"/>
    <x v="1"/>
    <n v="100.08"/>
    <x v="3"/>
    <n v="35.03"/>
    <n v="735.59"/>
    <n v="599.29999999999995"/>
    <n v="136.29"/>
    <n v="18.53"/>
    <x v="3"/>
    <n v="7.8"/>
    <x v="3"/>
  </r>
  <r>
    <s v="INV00406"/>
    <n v="46114"/>
    <s v="15:13"/>
    <x v="4"/>
    <x v="3"/>
    <x v="1"/>
    <s v="Male"/>
    <x v="0"/>
    <n v="108.15"/>
    <x v="1"/>
    <n v="10.82"/>
    <n v="227.12"/>
    <n v="161.97999999999999"/>
    <n v="65.14"/>
    <n v="28.68"/>
    <x v="4"/>
    <n v="8.6"/>
    <x v="3"/>
  </r>
  <r>
    <s v="INV00121"/>
    <n v="46115"/>
    <s v="10:17"/>
    <x v="4"/>
    <x v="3"/>
    <x v="0"/>
    <s v="Female"/>
    <x v="4"/>
    <n v="246.08"/>
    <x v="1"/>
    <n v="24.61"/>
    <n v="516.77"/>
    <n v="412.99"/>
    <n v="103.78"/>
    <n v="20.079999999999998"/>
    <x v="3"/>
    <n v="7.8"/>
    <x v="3"/>
  </r>
  <r>
    <s v="INV00175"/>
    <n v="46115"/>
    <s v="09:14"/>
    <x v="1"/>
    <x v="1"/>
    <x v="0"/>
    <s v="Male"/>
    <x v="6"/>
    <n v="163.06"/>
    <x v="1"/>
    <n v="16.309999999999999"/>
    <n v="342.43"/>
    <n v="277.08999999999997"/>
    <n v="65.34"/>
    <n v="19.079999999999998"/>
    <x v="3"/>
    <n v="7.7"/>
    <x v="3"/>
  </r>
  <r>
    <s v="INV00082"/>
    <n v="46116"/>
    <s v="21:07"/>
    <x v="2"/>
    <x v="0"/>
    <x v="1"/>
    <s v="Male"/>
    <x v="0"/>
    <n v="76.739999999999995"/>
    <x v="6"/>
    <n v="30.7"/>
    <n v="644.62"/>
    <n v="489.57"/>
    <n v="155.05000000000001"/>
    <n v="24.05"/>
    <x v="1"/>
    <n v="7.5"/>
    <x v="3"/>
  </r>
  <r>
    <s v="INV00268"/>
    <n v="46116"/>
    <s v="18:31"/>
    <x v="1"/>
    <x v="1"/>
    <x v="1"/>
    <s v="Male"/>
    <x v="0"/>
    <n v="113.46"/>
    <x v="5"/>
    <n v="34.04"/>
    <n v="714.8"/>
    <n v="533.61"/>
    <n v="181.19"/>
    <n v="25.35"/>
    <x v="0"/>
    <n v="9.1999999999999993"/>
    <x v="3"/>
  </r>
  <r>
    <s v="INV00073"/>
    <n v="46117"/>
    <s v="14:13"/>
    <x v="0"/>
    <x v="0"/>
    <x v="1"/>
    <s v="Male"/>
    <x v="3"/>
    <n v="363.62"/>
    <x v="5"/>
    <n v="109.09"/>
    <n v="2290.81"/>
    <n v="1810.71"/>
    <n v="480.1"/>
    <n v="20.96"/>
    <x v="1"/>
    <n v="6.8"/>
    <x v="3"/>
  </r>
  <r>
    <s v="INV00112"/>
    <n v="46117"/>
    <s v="21:40"/>
    <x v="0"/>
    <x v="0"/>
    <x v="1"/>
    <s v="Male"/>
    <x v="2"/>
    <n v="69.13"/>
    <x v="8"/>
    <n v="34.56"/>
    <n v="725.86"/>
    <n v="570.59"/>
    <n v="155.27000000000001"/>
    <n v="21.39"/>
    <x v="1"/>
    <n v="9.6999999999999993"/>
    <x v="3"/>
  </r>
  <r>
    <s v="INV00134"/>
    <n v="46117"/>
    <s v="10:57"/>
    <x v="3"/>
    <x v="2"/>
    <x v="1"/>
    <s v="Male"/>
    <x v="7"/>
    <n v="94.5"/>
    <x v="4"/>
    <n v="4.7300000000000004"/>
    <n v="99.23"/>
    <n v="78.95"/>
    <n v="20.28"/>
    <n v="20.440000000000001"/>
    <x v="3"/>
    <n v="8.1"/>
    <x v="3"/>
  </r>
  <r>
    <s v="INV00362"/>
    <n v="46118"/>
    <s v="09:11"/>
    <x v="1"/>
    <x v="1"/>
    <x v="1"/>
    <s v="Female"/>
    <x v="6"/>
    <n v="120.82"/>
    <x v="2"/>
    <n v="24.16"/>
    <n v="507.44"/>
    <n v="349.19"/>
    <n v="158.25"/>
    <n v="31.19"/>
    <x v="4"/>
    <n v="8"/>
    <x v="3"/>
  </r>
  <r>
    <s v="INV00474"/>
    <n v="46118"/>
    <s v="09:20"/>
    <x v="4"/>
    <x v="3"/>
    <x v="1"/>
    <s v="Female"/>
    <x v="4"/>
    <n v="213.44"/>
    <x v="2"/>
    <n v="42.69"/>
    <n v="896.45"/>
    <n v="741.92"/>
    <n v="154.53"/>
    <n v="17.239999999999998"/>
    <x v="4"/>
    <n v="5"/>
    <x v="3"/>
  </r>
  <r>
    <s v="INV00120"/>
    <n v="46120"/>
    <s v="17:28"/>
    <x v="2"/>
    <x v="0"/>
    <x v="1"/>
    <s v="Female"/>
    <x v="2"/>
    <n v="86.33"/>
    <x v="4"/>
    <n v="4.32"/>
    <n v="90.65"/>
    <n v="70.98"/>
    <n v="19.670000000000002"/>
    <n v="21.7"/>
    <x v="1"/>
    <n v="6.8"/>
    <x v="3"/>
  </r>
  <r>
    <s v="INV00326"/>
    <n v="46120"/>
    <s v="18:51"/>
    <x v="1"/>
    <x v="1"/>
    <x v="1"/>
    <s v="Female"/>
    <x v="0"/>
    <n v="127.86"/>
    <x v="3"/>
    <n v="44.75"/>
    <n v="939.77"/>
    <n v="633.34"/>
    <n v="306.43"/>
    <n v="32.61"/>
    <x v="3"/>
    <n v="9.5"/>
    <x v="3"/>
  </r>
  <r>
    <s v="INV00029"/>
    <n v="46121"/>
    <s v="13:54"/>
    <x v="2"/>
    <x v="0"/>
    <x v="1"/>
    <s v="Male"/>
    <x v="1"/>
    <n v="167.81"/>
    <x v="1"/>
    <n v="16.78"/>
    <n v="352.4"/>
    <n v="278.01"/>
    <n v="74.39"/>
    <n v="21.11"/>
    <x v="4"/>
    <n v="10"/>
    <x v="3"/>
  </r>
  <r>
    <s v="INV00325"/>
    <n v="46121"/>
    <s v="15:18"/>
    <x v="4"/>
    <x v="3"/>
    <x v="0"/>
    <s v="Male"/>
    <x v="7"/>
    <n v="78.930000000000007"/>
    <x v="1"/>
    <n v="7.89"/>
    <n v="165.75"/>
    <n v="116.3"/>
    <n v="49.45"/>
    <n v="29.83"/>
    <x v="4"/>
    <n v="7.1"/>
    <x v="3"/>
  </r>
  <r>
    <s v="INV00425"/>
    <n v="46121"/>
    <s v="10:05"/>
    <x v="0"/>
    <x v="0"/>
    <x v="0"/>
    <s v="Male"/>
    <x v="6"/>
    <n v="252"/>
    <x v="7"/>
    <n v="63"/>
    <n v="1323"/>
    <n v="925.26"/>
    <n v="397.74"/>
    <n v="30.06"/>
    <x v="4"/>
    <n v="9.6999999999999993"/>
    <x v="3"/>
  </r>
  <r>
    <s v="INV00071"/>
    <n v="46123"/>
    <s v="10:27"/>
    <x v="1"/>
    <x v="1"/>
    <x v="1"/>
    <s v="Male"/>
    <x v="7"/>
    <n v="130.72999999999999"/>
    <x v="6"/>
    <n v="52.29"/>
    <n v="1098.1300000000001"/>
    <n v="818.53"/>
    <n v="279.60000000000002"/>
    <n v="25.46"/>
    <x v="4"/>
    <n v="6.3"/>
    <x v="3"/>
  </r>
  <r>
    <s v="INV00074"/>
    <n v="46123"/>
    <s v="11:25"/>
    <x v="4"/>
    <x v="3"/>
    <x v="1"/>
    <s v="Male"/>
    <x v="7"/>
    <n v="85.26"/>
    <x v="5"/>
    <n v="25.58"/>
    <n v="537.14"/>
    <n v="393.53"/>
    <n v="143.61000000000001"/>
    <n v="26.74"/>
    <x v="3"/>
    <n v="5.0999999999999996"/>
    <x v="3"/>
  </r>
  <r>
    <s v="INV00404"/>
    <n v="46123"/>
    <s v="18:23"/>
    <x v="4"/>
    <x v="3"/>
    <x v="0"/>
    <s v="Female"/>
    <x v="7"/>
    <n v="65.73"/>
    <x v="2"/>
    <n v="13.15"/>
    <n v="276.07"/>
    <n v="187.66"/>
    <n v="88.41"/>
    <n v="32.020000000000003"/>
    <x v="3"/>
    <n v="7.6"/>
    <x v="3"/>
  </r>
  <r>
    <s v="INV00200"/>
    <n v="46124"/>
    <s v="14:56"/>
    <x v="1"/>
    <x v="1"/>
    <x v="1"/>
    <s v="Female"/>
    <x v="6"/>
    <n v="170.93"/>
    <x v="3"/>
    <n v="59.83"/>
    <n v="1256.3399999999999"/>
    <n v="1004.32"/>
    <n v="252.02"/>
    <n v="20.059999999999999"/>
    <x v="2"/>
    <n v="6.8"/>
    <x v="3"/>
  </r>
  <r>
    <s v="INV00372"/>
    <n v="46125"/>
    <s v="09:47"/>
    <x v="0"/>
    <x v="0"/>
    <x v="1"/>
    <s v="Male"/>
    <x v="4"/>
    <n v="286.33"/>
    <x v="1"/>
    <n v="28.63"/>
    <n v="601.29"/>
    <n v="445.74"/>
    <n v="155.55000000000001"/>
    <n v="25.87"/>
    <x v="2"/>
    <n v="9.8000000000000007"/>
    <x v="3"/>
  </r>
  <r>
    <s v="INV00463"/>
    <n v="46126"/>
    <s v="18:26"/>
    <x v="1"/>
    <x v="1"/>
    <x v="1"/>
    <s v="Female"/>
    <x v="4"/>
    <n v="194.98"/>
    <x v="4"/>
    <n v="9.75"/>
    <n v="204.73"/>
    <n v="142.29"/>
    <n v="62.44"/>
    <n v="30.5"/>
    <x v="4"/>
    <n v="6.7"/>
    <x v="3"/>
  </r>
  <r>
    <s v="INV00475"/>
    <n v="46127"/>
    <s v="10:17"/>
    <x v="2"/>
    <x v="0"/>
    <x v="1"/>
    <s v="Male"/>
    <x v="1"/>
    <n v="140.41999999999999"/>
    <x v="4"/>
    <n v="7.02"/>
    <n v="147.44"/>
    <n v="120.89"/>
    <n v="26.55"/>
    <n v="18.010000000000002"/>
    <x v="4"/>
    <n v="6.8"/>
    <x v="3"/>
  </r>
  <r>
    <s v="INV00360"/>
    <n v="46129"/>
    <s v="19:01"/>
    <x v="2"/>
    <x v="0"/>
    <x v="0"/>
    <s v="Male"/>
    <x v="1"/>
    <n v="101.52"/>
    <x v="5"/>
    <n v="30.46"/>
    <n v="639.58000000000004"/>
    <n v="514.11"/>
    <n v="125.47"/>
    <n v="19.62"/>
    <x v="0"/>
    <n v="7.3"/>
    <x v="3"/>
  </r>
  <r>
    <s v="INV00049"/>
    <n v="46130"/>
    <s v="15:13"/>
    <x v="2"/>
    <x v="0"/>
    <x v="0"/>
    <s v="Male"/>
    <x v="7"/>
    <n v="69.959999999999994"/>
    <x v="3"/>
    <n v="24.49"/>
    <n v="514.21"/>
    <n v="419.73"/>
    <n v="94.48"/>
    <n v="18.37"/>
    <x v="4"/>
    <n v="8.6999999999999993"/>
    <x v="3"/>
  </r>
  <r>
    <s v="INV00110"/>
    <n v="46130"/>
    <s v="15:07"/>
    <x v="0"/>
    <x v="0"/>
    <x v="1"/>
    <s v="Female"/>
    <x v="5"/>
    <n v="61.1"/>
    <x v="4"/>
    <n v="3.06"/>
    <n v="64.16"/>
    <n v="43.01"/>
    <n v="21.15"/>
    <n v="32.96"/>
    <x v="1"/>
    <n v="8.9"/>
    <x v="3"/>
  </r>
  <r>
    <s v="INV00392"/>
    <n v="46131"/>
    <s v="15:58"/>
    <x v="3"/>
    <x v="2"/>
    <x v="1"/>
    <s v="Male"/>
    <x v="2"/>
    <n v="51.4"/>
    <x v="8"/>
    <n v="25.7"/>
    <n v="539.70000000000005"/>
    <n v="378.98"/>
    <n v="160.72"/>
    <n v="29.78"/>
    <x v="2"/>
    <n v="6.6"/>
    <x v="3"/>
  </r>
  <r>
    <s v="INV00494"/>
    <n v="46131"/>
    <s v="15:58"/>
    <x v="0"/>
    <x v="0"/>
    <x v="1"/>
    <s v="Female"/>
    <x v="7"/>
    <n v="72.45"/>
    <x v="5"/>
    <n v="21.74"/>
    <n v="456.44"/>
    <n v="319.89999999999998"/>
    <n v="136.54"/>
    <n v="29.91"/>
    <x v="0"/>
    <n v="6.6"/>
    <x v="3"/>
  </r>
  <r>
    <s v="INV00212"/>
    <n v="46132"/>
    <s v="16:21"/>
    <x v="1"/>
    <x v="1"/>
    <x v="1"/>
    <s v="Female"/>
    <x v="7"/>
    <n v="128.65"/>
    <x v="0"/>
    <n v="57.89"/>
    <n v="1215.74"/>
    <n v="991.53"/>
    <n v="224.21"/>
    <n v="18.440000000000001"/>
    <x v="2"/>
    <n v="7.1"/>
    <x v="3"/>
  </r>
  <r>
    <s v="INV00162"/>
    <n v="46133"/>
    <s v="09:27"/>
    <x v="2"/>
    <x v="0"/>
    <x v="1"/>
    <s v="Male"/>
    <x v="0"/>
    <n v="83.87"/>
    <x v="0"/>
    <n v="37.74"/>
    <n v="792.57"/>
    <n v="656.44"/>
    <n v="136.13"/>
    <n v="17.18"/>
    <x v="3"/>
    <n v="6.8"/>
    <x v="3"/>
  </r>
  <r>
    <s v="INV00172"/>
    <n v="46133"/>
    <s v="09:36"/>
    <x v="0"/>
    <x v="0"/>
    <x v="0"/>
    <s v="Male"/>
    <x v="0"/>
    <n v="73.55"/>
    <x v="6"/>
    <n v="29.42"/>
    <n v="617.82000000000005"/>
    <n v="448.94"/>
    <n v="168.88"/>
    <n v="27.33"/>
    <x v="4"/>
    <n v="7.3"/>
    <x v="3"/>
  </r>
  <r>
    <s v="INV00250"/>
    <n v="46133"/>
    <s v="15:14"/>
    <x v="4"/>
    <x v="3"/>
    <x v="0"/>
    <s v="Male"/>
    <x v="7"/>
    <n v="92.73"/>
    <x v="9"/>
    <n v="13.91"/>
    <n v="292.10000000000002"/>
    <n v="233.98"/>
    <n v="58.12"/>
    <n v="19.899999999999999"/>
    <x v="4"/>
    <n v="9.1999999999999993"/>
    <x v="3"/>
  </r>
  <r>
    <s v="INV00276"/>
    <n v="46133"/>
    <s v="12:20"/>
    <x v="2"/>
    <x v="0"/>
    <x v="1"/>
    <s v="Female"/>
    <x v="1"/>
    <n v="126.59"/>
    <x v="3"/>
    <n v="44.31"/>
    <n v="930.44"/>
    <n v="622.48"/>
    <n v="307.95999999999998"/>
    <n v="33.1"/>
    <x v="4"/>
    <n v="6.9"/>
    <x v="3"/>
  </r>
  <r>
    <s v="INV00287"/>
    <n v="46133"/>
    <s v="12:49"/>
    <x v="2"/>
    <x v="0"/>
    <x v="1"/>
    <s v="Female"/>
    <x v="7"/>
    <n v="118.03"/>
    <x v="9"/>
    <n v="17.7"/>
    <n v="371.79"/>
    <n v="307.67"/>
    <n v="64.12"/>
    <n v="17.25"/>
    <x v="4"/>
    <n v="10"/>
    <x v="3"/>
  </r>
  <r>
    <s v="INV00223"/>
    <n v="46134"/>
    <s v="13:15"/>
    <x v="0"/>
    <x v="0"/>
    <x v="1"/>
    <s v="Female"/>
    <x v="1"/>
    <n v="199.75"/>
    <x v="3"/>
    <n v="69.91"/>
    <n v="1468.16"/>
    <n v="1112.99"/>
    <n v="355.17"/>
    <n v="24.19"/>
    <x v="4"/>
    <n v="8.9"/>
    <x v="3"/>
  </r>
  <r>
    <s v="INV00398"/>
    <n v="46134"/>
    <s v="11:28"/>
    <x v="2"/>
    <x v="0"/>
    <x v="1"/>
    <s v="Male"/>
    <x v="0"/>
    <n v="115.54"/>
    <x v="5"/>
    <n v="34.659999999999997"/>
    <n v="727.9"/>
    <n v="529.4"/>
    <n v="198.5"/>
    <n v="27.27"/>
    <x v="4"/>
    <n v="8"/>
    <x v="3"/>
  </r>
  <r>
    <s v="INV00119"/>
    <n v="46135"/>
    <s v="20:13"/>
    <x v="4"/>
    <x v="3"/>
    <x v="1"/>
    <s v="Female"/>
    <x v="2"/>
    <n v="64.72"/>
    <x v="2"/>
    <n v="12.94"/>
    <n v="271.82"/>
    <n v="216.85"/>
    <n v="54.97"/>
    <n v="20.22"/>
    <x v="4"/>
    <n v="7.3"/>
    <x v="3"/>
  </r>
  <r>
    <s v="INV00205"/>
    <n v="46135"/>
    <s v="21:50"/>
    <x v="2"/>
    <x v="0"/>
    <x v="1"/>
    <s v="Male"/>
    <x v="1"/>
    <n v="161.58000000000001"/>
    <x v="9"/>
    <n v="24.24"/>
    <n v="508.98"/>
    <n v="375.53"/>
    <n v="133.44999999999999"/>
    <n v="26.22"/>
    <x v="0"/>
    <n v="7.3"/>
    <x v="3"/>
  </r>
  <r>
    <s v="INV00215"/>
    <n v="46135"/>
    <s v="17:43"/>
    <x v="1"/>
    <x v="1"/>
    <x v="0"/>
    <s v="Male"/>
    <x v="3"/>
    <n v="366.89"/>
    <x v="8"/>
    <n v="183.44"/>
    <n v="3852.34"/>
    <n v="2936.69"/>
    <n v="915.65"/>
    <n v="23.77"/>
    <x v="1"/>
    <n v="8"/>
    <x v="3"/>
  </r>
  <r>
    <s v="INV00281"/>
    <n v="46136"/>
    <s v="20:55"/>
    <x v="4"/>
    <x v="3"/>
    <x v="0"/>
    <s v="Female"/>
    <x v="5"/>
    <n v="95.32"/>
    <x v="2"/>
    <n v="19.059999999999999"/>
    <n v="400.34"/>
    <n v="329.8"/>
    <n v="70.540000000000006"/>
    <n v="17.62"/>
    <x v="4"/>
    <n v="6.4"/>
    <x v="3"/>
  </r>
  <r>
    <s v="INV00286"/>
    <n v="46136"/>
    <s v="18:01"/>
    <x v="0"/>
    <x v="0"/>
    <x v="1"/>
    <s v="Female"/>
    <x v="0"/>
    <n v="144.9"/>
    <x v="2"/>
    <n v="28.98"/>
    <n v="608.58000000000004"/>
    <n v="406.28"/>
    <n v="202.3"/>
    <n v="33.24"/>
    <x v="4"/>
    <n v="8.6999999999999993"/>
    <x v="3"/>
  </r>
  <r>
    <s v="INV00356"/>
    <n v="46137"/>
    <s v="18:56"/>
    <x v="1"/>
    <x v="1"/>
    <x v="0"/>
    <s v="Male"/>
    <x v="4"/>
    <n v="222.37"/>
    <x v="3"/>
    <n v="77.83"/>
    <n v="1634.42"/>
    <n v="1230.1500000000001"/>
    <n v="404.27"/>
    <n v="24.73"/>
    <x v="4"/>
    <n v="9.1999999999999993"/>
    <x v="3"/>
  </r>
  <r>
    <s v="INV00379"/>
    <n v="46137"/>
    <s v="11:33"/>
    <x v="4"/>
    <x v="3"/>
    <x v="1"/>
    <s v="Female"/>
    <x v="1"/>
    <n v="151.53"/>
    <x v="8"/>
    <n v="75.760000000000005"/>
    <n v="1591.06"/>
    <n v="1174.24"/>
    <n v="416.82"/>
    <n v="26.2"/>
    <x v="0"/>
    <n v="7.5"/>
    <x v="3"/>
  </r>
  <r>
    <s v="INV00431"/>
    <n v="46138"/>
    <s v="20:52"/>
    <x v="0"/>
    <x v="0"/>
    <x v="1"/>
    <s v="Male"/>
    <x v="1"/>
    <n v="125.29"/>
    <x v="2"/>
    <n v="25.06"/>
    <n v="526.22"/>
    <n v="354.87"/>
    <n v="171.35"/>
    <n v="32.56"/>
    <x v="4"/>
    <n v="5.6"/>
    <x v="3"/>
  </r>
  <r>
    <s v="INV00092"/>
    <n v="46139"/>
    <s v="17:58"/>
    <x v="1"/>
    <x v="1"/>
    <x v="0"/>
    <s v="Female"/>
    <x v="5"/>
    <n v="56.54"/>
    <x v="8"/>
    <n v="28.27"/>
    <n v="593.66999999999996"/>
    <n v="427.43"/>
    <n v="166.24"/>
    <n v="28"/>
    <x v="2"/>
    <n v="7.1"/>
    <x v="3"/>
  </r>
  <r>
    <s v="INV00097"/>
    <n v="46139"/>
    <s v="19:16"/>
    <x v="2"/>
    <x v="0"/>
    <x v="1"/>
    <s v="Female"/>
    <x v="5"/>
    <n v="95.43"/>
    <x v="3"/>
    <n v="33.4"/>
    <n v="701.41"/>
    <n v="557.72"/>
    <n v="143.69"/>
    <n v="20.49"/>
    <x v="4"/>
    <n v="7.5"/>
    <x v="3"/>
  </r>
  <r>
    <s v="INV00405"/>
    <n v="46139"/>
    <s v="21:34"/>
    <x v="3"/>
    <x v="2"/>
    <x v="0"/>
    <s v="Male"/>
    <x v="6"/>
    <n v="233.85"/>
    <x v="9"/>
    <n v="35.08"/>
    <n v="736.63"/>
    <n v="615.69000000000005"/>
    <n v="120.94"/>
    <n v="16.420000000000002"/>
    <x v="4"/>
    <n v="8"/>
    <x v="3"/>
  </r>
  <r>
    <s v="INV00424"/>
    <n v="46139"/>
    <s v="09:09"/>
    <x v="2"/>
    <x v="0"/>
    <x v="1"/>
    <s v="Male"/>
    <x v="2"/>
    <n v="56.66"/>
    <x v="8"/>
    <n v="28.33"/>
    <n v="594.92999999999995"/>
    <n v="433.72"/>
    <n v="161.21"/>
    <n v="27.1"/>
    <x v="3"/>
    <n v="7.6"/>
    <x v="3"/>
  </r>
  <r>
    <s v="INV00081"/>
    <n v="46140"/>
    <s v="21:00"/>
    <x v="4"/>
    <x v="3"/>
    <x v="0"/>
    <s v="Male"/>
    <x v="6"/>
    <n v="158.38"/>
    <x v="7"/>
    <n v="39.6"/>
    <n v="831.5"/>
    <n v="596.63"/>
    <n v="234.87"/>
    <n v="28.25"/>
    <x v="0"/>
    <n v="9"/>
    <x v="3"/>
  </r>
  <r>
    <s v="INV00274"/>
    <n v="46140"/>
    <s v="18:06"/>
    <x v="4"/>
    <x v="3"/>
    <x v="1"/>
    <s v="Male"/>
    <x v="3"/>
    <n v="299.83"/>
    <x v="4"/>
    <n v="14.99"/>
    <n v="314.82"/>
    <n v="255.71"/>
    <n v="59.11"/>
    <n v="18.78"/>
    <x v="4"/>
    <n v="6.6"/>
    <x v="3"/>
  </r>
  <r>
    <s v="INV00296"/>
    <n v="46140"/>
    <s v="21:23"/>
    <x v="2"/>
    <x v="0"/>
    <x v="1"/>
    <s v="Female"/>
    <x v="0"/>
    <n v="114.41"/>
    <x v="5"/>
    <n v="34.32"/>
    <n v="720.78"/>
    <n v="552.04999999999995"/>
    <n v="168.73"/>
    <n v="23.41"/>
    <x v="1"/>
    <n v="9.1999999999999993"/>
    <x v="3"/>
  </r>
  <r>
    <s v="INV00141"/>
    <n v="46141"/>
    <s v="14:16"/>
    <x v="4"/>
    <x v="3"/>
    <x v="0"/>
    <s v="Female"/>
    <x v="1"/>
    <n v="137.69999999999999"/>
    <x v="6"/>
    <n v="55.08"/>
    <n v="1156.68"/>
    <n v="872.36"/>
    <n v="284.32"/>
    <n v="24.58"/>
    <x v="4"/>
    <n v="7.6"/>
    <x v="3"/>
  </r>
  <r>
    <s v="INV00304"/>
    <n v="46141"/>
    <s v="12:16"/>
    <x v="2"/>
    <x v="0"/>
    <x v="1"/>
    <s v="Male"/>
    <x v="7"/>
    <n v="133.77000000000001"/>
    <x v="7"/>
    <n v="33.44"/>
    <n v="702.29"/>
    <n v="521.54"/>
    <n v="180.75"/>
    <n v="25.74"/>
    <x v="0"/>
    <n v="8.5"/>
    <x v="3"/>
  </r>
  <r>
    <s v="INV00024"/>
    <n v="46143"/>
    <s v="15:38"/>
    <x v="3"/>
    <x v="2"/>
    <x v="0"/>
    <s v="Female"/>
    <x v="2"/>
    <n v="82.02"/>
    <x v="7"/>
    <n v="20.5"/>
    <n v="430.6"/>
    <n v="317.16000000000003"/>
    <n v="113.44"/>
    <n v="26.34"/>
    <x v="0"/>
    <n v="5"/>
    <x v="4"/>
  </r>
  <r>
    <s v="INV00227"/>
    <n v="46143"/>
    <s v="20:00"/>
    <x v="4"/>
    <x v="3"/>
    <x v="1"/>
    <s v="Male"/>
    <x v="1"/>
    <n v="109.41"/>
    <x v="5"/>
    <n v="32.82"/>
    <n v="689.28"/>
    <n v="522"/>
    <n v="167.28"/>
    <n v="24.27"/>
    <x v="4"/>
    <n v="8.1999999999999993"/>
    <x v="4"/>
  </r>
  <r>
    <s v="INV00113"/>
    <n v="46144"/>
    <s v="10:23"/>
    <x v="4"/>
    <x v="3"/>
    <x v="1"/>
    <s v="Female"/>
    <x v="7"/>
    <n v="84.17"/>
    <x v="4"/>
    <n v="4.21"/>
    <n v="88.38"/>
    <n v="66.430000000000007"/>
    <n v="21.95"/>
    <n v="24.84"/>
    <x v="4"/>
    <n v="8.4"/>
    <x v="4"/>
  </r>
  <r>
    <s v="INV00157"/>
    <n v="46144"/>
    <s v="09:00"/>
    <x v="1"/>
    <x v="1"/>
    <x v="1"/>
    <s v="Female"/>
    <x v="4"/>
    <n v="197.75"/>
    <x v="8"/>
    <n v="98.88"/>
    <n v="2076.38"/>
    <n v="1733.69"/>
    <n v="342.69"/>
    <n v="16.5"/>
    <x v="0"/>
    <n v="7.9"/>
    <x v="4"/>
  </r>
  <r>
    <s v="INV00180"/>
    <n v="46144"/>
    <s v="11:06"/>
    <x v="0"/>
    <x v="0"/>
    <x v="1"/>
    <s v="Male"/>
    <x v="2"/>
    <n v="95.25"/>
    <x v="9"/>
    <n v="14.29"/>
    <n v="300.04000000000002"/>
    <n v="205.36"/>
    <n v="94.68"/>
    <n v="31.56"/>
    <x v="4"/>
    <n v="6.2"/>
    <x v="4"/>
  </r>
  <r>
    <s v="INV00472"/>
    <n v="46144"/>
    <s v="21:30"/>
    <x v="4"/>
    <x v="3"/>
    <x v="0"/>
    <s v="Male"/>
    <x v="0"/>
    <n v="140.41999999999999"/>
    <x v="7"/>
    <n v="35.1"/>
    <n v="737.2"/>
    <n v="590.76"/>
    <n v="146.44"/>
    <n v="19.86"/>
    <x v="2"/>
    <n v="9"/>
    <x v="4"/>
  </r>
  <r>
    <s v="INV00019"/>
    <n v="46145"/>
    <s v="18:59"/>
    <x v="2"/>
    <x v="0"/>
    <x v="0"/>
    <s v="Female"/>
    <x v="0"/>
    <n v="92.39"/>
    <x v="4"/>
    <n v="4.62"/>
    <n v="97.01"/>
    <n v="72.989999999999995"/>
    <n v="24.02"/>
    <n v="24.76"/>
    <x v="2"/>
    <n v="5.8"/>
    <x v="4"/>
  </r>
  <r>
    <s v="INV00116"/>
    <n v="46145"/>
    <s v="12:48"/>
    <x v="4"/>
    <x v="3"/>
    <x v="0"/>
    <s v="Male"/>
    <x v="0"/>
    <n v="75.349999999999994"/>
    <x v="2"/>
    <n v="15.07"/>
    <n v="316.47000000000003"/>
    <n v="264.17"/>
    <n v="52.3"/>
    <n v="16.53"/>
    <x v="0"/>
    <n v="7.2"/>
    <x v="4"/>
  </r>
  <r>
    <s v="INV00161"/>
    <n v="46145"/>
    <s v="19:31"/>
    <x v="3"/>
    <x v="2"/>
    <x v="0"/>
    <s v="Female"/>
    <x v="3"/>
    <n v="384.2"/>
    <x v="6"/>
    <n v="153.68"/>
    <n v="3227.28"/>
    <n v="2279.62"/>
    <n v="947.66"/>
    <n v="29.36"/>
    <x v="4"/>
    <n v="6.5"/>
    <x v="4"/>
  </r>
  <r>
    <s v="INV00319"/>
    <n v="46145"/>
    <s v="19:19"/>
    <x v="0"/>
    <x v="0"/>
    <x v="1"/>
    <s v="Male"/>
    <x v="1"/>
    <n v="187.45"/>
    <x v="7"/>
    <n v="46.86"/>
    <n v="984.11"/>
    <n v="820.44"/>
    <n v="163.66999999999999"/>
    <n v="16.63"/>
    <x v="4"/>
    <n v="6.3"/>
    <x v="4"/>
  </r>
  <r>
    <s v="INV00432"/>
    <n v="46147"/>
    <s v="12:09"/>
    <x v="1"/>
    <x v="1"/>
    <x v="1"/>
    <s v="Female"/>
    <x v="2"/>
    <n v="92.29"/>
    <x v="1"/>
    <n v="9.23"/>
    <n v="193.81"/>
    <n v="133.4"/>
    <n v="60.41"/>
    <n v="31.17"/>
    <x v="4"/>
    <n v="8.1999999999999993"/>
    <x v="4"/>
  </r>
  <r>
    <s v="INV00468"/>
    <n v="46147"/>
    <s v="17:10"/>
    <x v="4"/>
    <x v="3"/>
    <x v="1"/>
    <s v="Female"/>
    <x v="3"/>
    <n v="457.39"/>
    <x v="2"/>
    <n v="91.48"/>
    <n v="1921.04"/>
    <n v="1479.55"/>
    <n v="441.49"/>
    <n v="22.98"/>
    <x v="4"/>
    <n v="7.8"/>
    <x v="4"/>
  </r>
  <r>
    <s v="INV00486"/>
    <n v="46147"/>
    <s v="19:01"/>
    <x v="4"/>
    <x v="3"/>
    <x v="1"/>
    <s v="Male"/>
    <x v="6"/>
    <n v="236.46"/>
    <x v="8"/>
    <n v="118.23"/>
    <n v="2482.83"/>
    <n v="1975.15"/>
    <n v="507.68"/>
    <n v="20.45"/>
    <x v="1"/>
    <n v="10"/>
    <x v="4"/>
  </r>
  <r>
    <s v="INV00321"/>
    <n v="46148"/>
    <s v="19:43"/>
    <x v="2"/>
    <x v="0"/>
    <x v="1"/>
    <s v="Female"/>
    <x v="2"/>
    <n v="68.19"/>
    <x v="3"/>
    <n v="23.87"/>
    <n v="501.2"/>
    <n v="381.79"/>
    <n v="119.41"/>
    <n v="23.82"/>
    <x v="3"/>
    <n v="7"/>
    <x v="4"/>
  </r>
  <r>
    <s v="INV00333"/>
    <n v="46148"/>
    <s v="18:18"/>
    <x v="0"/>
    <x v="0"/>
    <x v="1"/>
    <s v="Female"/>
    <x v="1"/>
    <n v="152.61000000000001"/>
    <x v="4"/>
    <n v="7.63"/>
    <n v="160.24"/>
    <n v="111.54"/>
    <n v="48.7"/>
    <n v="30.39"/>
    <x v="2"/>
    <n v="5.5"/>
    <x v="4"/>
  </r>
  <r>
    <s v="INV00442"/>
    <n v="46148"/>
    <s v="16:22"/>
    <x v="4"/>
    <x v="3"/>
    <x v="1"/>
    <s v="Male"/>
    <x v="7"/>
    <n v="106.98"/>
    <x v="4"/>
    <n v="5.35"/>
    <n v="112.33"/>
    <n v="87.56"/>
    <n v="24.77"/>
    <n v="22.05"/>
    <x v="0"/>
    <n v="6.7"/>
    <x v="4"/>
  </r>
  <r>
    <s v="INV00058"/>
    <n v="46149"/>
    <s v="12:18"/>
    <x v="0"/>
    <x v="0"/>
    <x v="1"/>
    <s v="Female"/>
    <x v="1"/>
    <n v="165.83"/>
    <x v="4"/>
    <n v="8.2899999999999991"/>
    <n v="174.12"/>
    <n v="125.59"/>
    <n v="48.53"/>
    <n v="27.87"/>
    <x v="4"/>
    <n v="10"/>
    <x v="4"/>
  </r>
  <r>
    <s v="INV00126"/>
    <n v="46149"/>
    <s v="16:26"/>
    <x v="2"/>
    <x v="0"/>
    <x v="1"/>
    <s v="Female"/>
    <x v="3"/>
    <n v="278.5"/>
    <x v="2"/>
    <n v="55.7"/>
    <n v="1169.7"/>
    <n v="914.8"/>
    <n v="254.9"/>
    <n v="21.79"/>
    <x v="2"/>
    <n v="8.8000000000000007"/>
    <x v="4"/>
  </r>
  <r>
    <s v="INV00327"/>
    <n v="46149"/>
    <s v="18:24"/>
    <x v="2"/>
    <x v="0"/>
    <x v="1"/>
    <s v="Male"/>
    <x v="3"/>
    <n v="458.62"/>
    <x v="9"/>
    <n v="68.790000000000006"/>
    <n v="1444.65"/>
    <n v="1106.67"/>
    <n v="337.98"/>
    <n v="23.4"/>
    <x v="4"/>
    <n v="10"/>
    <x v="4"/>
  </r>
  <r>
    <s v="INV00456"/>
    <n v="46151"/>
    <s v="13:56"/>
    <x v="2"/>
    <x v="0"/>
    <x v="0"/>
    <s v="Female"/>
    <x v="3"/>
    <n v="414.63"/>
    <x v="7"/>
    <n v="103.66"/>
    <n v="2176.81"/>
    <n v="1601.51"/>
    <n v="575.29999999999995"/>
    <n v="26.43"/>
    <x v="0"/>
    <n v="7.8"/>
    <x v="4"/>
  </r>
  <r>
    <s v="INV00163"/>
    <n v="46153"/>
    <s v="18:40"/>
    <x v="2"/>
    <x v="0"/>
    <x v="1"/>
    <s v="Female"/>
    <x v="7"/>
    <n v="98.65"/>
    <x v="9"/>
    <n v="14.8"/>
    <n v="310.75"/>
    <n v="209.45"/>
    <n v="101.3"/>
    <n v="32.6"/>
    <x v="0"/>
    <n v="7.4"/>
    <x v="4"/>
  </r>
  <r>
    <s v="INV00003"/>
    <n v="46154"/>
    <s v="15:04"/>
    <x v="1"/>
    <x v="1"/>
    <x v="0"/>
    <s v="Female"/>
    <x v="3"/>
    <n v="379.32"/>
    <x v="2"/>
    <n v="75.86"/>
    <n v="1593.14"/>
    <n v="1280.51"/>
    <n v="312.63"/>
    <n v="19.62"/>
    <x v="4"/>
    <n v="8.6999999999999993"/>
    <x v="4"/>
  </r>
  <r>
    <s v="INV00043"/>
    <n v="46154"/>
    <s v="14:58"/>
    <x v="0"/>
    <x v="0"/>
    <x v="1"/>
    <s v="Male"/>
    <x v="4"/>
    <n v="171.27"/>
    <x v="0"/>
    <n v="77.069999999999993"/>
    <n v="1618.5"/>
    <n v="1335.53"/>
    <n v="282.97000000000003"/>
    <n v="17.48"/>
    <x v="2"/>
    <n v="6.4"/>
    <x v="4"/>
  </r>
  <r>
    <s v="INV00183"/>
    <n v="46154"/>
    <s v="16:05"/>
    <x v="4"/>
    <x v="3"/>
    <x v="0"/>
    <s v="Male"/>
    <x v="4"/>
    <n v="301.81"/>
    <x v="4"/>
    <n v="15.09"/>
    <n v="316.89999999999998"/>
    <n v="234.41"/>
    <n v="82.49"/>
    <n v="26.03"/>
    <x v="1"/>
    <n v="9.6"/>
    <x v="4"/>
  </r>
  <r>
    <s v="INV00497"/>
    <n v="46154"/>
    <s v="16:33"/>
    <x v="2"/>
    <x v="0"/>
    <x v="0"/>
    <s v="Female"/>
    <x v="0"/>
    <n v="122.39"/>
    <x v="6"/>
    <n v="48.96"/>
    <n v="1028.08"/>
    <n v="852.55"/>
    <n v="175.53"/>
    <n v="17.07"/>
    <x v="4"/>
    <n v="7.1"/>
    <x v="4"/>
  </r>
  <r>
    <s v="INV00064"/>
    <n v="46156"/>
    <s v="14:23"/>
    <x v="3"/>
    <x v="2"/>
    <x v="1"/>
    <s v="Female"/>
    <x v="1"/>
    <n v="175.71"/>
    <x v="8"/>
    <n v="87.86"/>
    <n v="1844.96"/>
    <n v="1481.25"/>
    <n v="363.71"/>
    <n v="19.71"/>
    <x v="4"/>
    <n v="6.6"/>
    <x v="4"/>
  </r>
  <r>
    <s v="INV00127"/>
    <n v="46156"/>
    <s v="14:01"/>
    <x v="4"/>
    <x v="3"/>
    <x v="1"/>
    <s v="Female"/>
    <x v="6"/>
    <n v="165.58"/>
    <x v="3"/>
    <n v="57.95"/>
    <n v="1217.01"/>
    <n v="896.49"/>
    <n v="320.52"/>
    <n v="26.34"/>
    <x v="1"/>
    <n v="8.8000000000000007"/>
    <x v="4"/>
  </r>
  <r>
    <s v="INV00230"/>
    <n v="46156"/>
    <s v="17:58"/>
    <x v="2"/>
    <x v="0"/>
    <x v="1"/>
    <s v="Female"/>
    <x v="4"/>
    <n v="269.93"/>
    <x v="4"/>
    <n v="13.5"/>
    <n v="283.43"/>
    <n v="202.48"/>
    <n v="80.95"/>
    <n v="28.56"/>
    <x v="3"/>
    <n v="9.1999999999999993"/>
    <x v="4"/>
  </r>
  <r>
    <s v="INV00354"/>
    <n v="46156"/>
    <s v="18:13"/>
    <x v="0"/>
    <x v="0"/>
    <x v="0"/>
    <s v="Male"/>
    <x v="0"/>
    <n v="99.45"/>
    <x v="2"/>
    <n v="19.89"/>
    <n v="417.69"/>
    <n v="327.92"/>
    <n v="89.77"/>
    <n v="21.49"/>
    <x v="1"/>
    <n v="8.1"/>
    <x v="4"/>
  </r>
  <r>
    <s v="INV00389"/>
    <n v="46156"/>
    <s v="12:26"/>
    <x v="1"/>
    <x v="1"/>
    <x v="0"/>
    <s v="Male"/>
    <x v="1"/>
    <n v="204.54"/>
    <x v="9"/>
    <n v="30.68"/>
    <n v="644.29999999999995"/>
    <n v="442.17"/>
    <n v="202.13"/>
    <n v="31.37"/>
    <x v="4"/>
    <n v="9.1999999999999993"/>
    <x v="4"/>
  </r>
  <r>
    <s v="INV00414"/>
    <n v="46156"/>
    <s v="11:30"/>
    <x v="2"/>
    <x v="0"/>
    <x v="1"/>
    <s v="Female"/>
    <x v="3"/>
    <n v="381.52"/>
    <x v="4"/>
    <n v="19.079999999999998"/>
    <n v="400.6"/>
    <n v="287.91000000000003"/>
    <n v="112.69"/>
    <n v="28.13"/>
    <x v="3"/>
    <n v="6.2"/>
    <x v="4"/>
  </r>
  <r>
    <s v="INV00417"/>
    <n v="46156"/>
    <s v="12:41"/>
    <x v="3"/>
    <x v="2"/>
    <x v="1"/>
    <s v="Female"/>
    <x v="3"/>
    <n v="242.97"/>
    <x v="2"/>
    <n v="48.59"/>
    <n v="1020.47"/>
    <n v="710.8"/>
    <n v="309.67"/>
    <n v="30.35"/>
    <x v="1"/>
    <n v="6.6"/>
    <x v="4"/>
  </r>
  <r>
    <s v="INV00470"/>
    <n v="46156"/>
    <s v="17:51"/>
    <x v="4"/>
    <x v="3"/>
    <x v="0"/>
    <s v="Male"/>
    <x v="6"/>
    <n v="123.74"/>
    <x v="3"/>
    <n v="43.31"/>
    <n v="909.49"/>
    <n v="693.44"/>
    <n v="216.05"/>
    <n v="23.76"/>
    <x v="4"/>
    <n v="7.8"/>
    <x v="4"/>
  </r>
  <r>
    <s v="INV00102"/>
    <n v="46157"/>
    <s v="21:30"/>
    <x v="2"/>
    <x v="0"/>
    <x v="0"/>
    <s v="Male"/>
    <x v="4"/>
    <n v="289.93"/>
    <x v="3"/>
    <n v="101.48"/>
    <n v="2130.9899999999998"/>
    <n v="1739.01"/>
    <n v="391.98"/>
    <n v="18.39"/>
    <x v="3"/>
    <n v="9.3000000000000007"/>
    <x v="4"/>
  </r>
  <r>
    <s v="INV00384"/>
    <n v="46157"/>
    <s v="12:58"/>
    <x v="4"/>
    <x v="3"/>
    <x v="1"/>
    <s v="Male"/>
    <x v="1"/>
    <n v="113.62"/>
    <x v="3"/>
    <n v="39.770000000000003"/>
    <n v="835.11"/>
    <n v="567.45000000000005"/>
    <n v="267.66000000000003"/>
    <n v="32.049999999999997"/>
    <x v="2"/>
    <n v="7.2"/>
    <x v="4"/>
  </r>
  <r>
    <s v="INV00178"/>
    <n v="46158"/>
    <s v="18:33"/>
    <x v="3"/>
    <x v="2"/>
    <x v="1"/>
    <s v="Male"/>
    <x v="3"/>
    <n v="452.72"/>
    <x v="8"/>
    <n v="226.36"/>
    <n v="4753.5600000000004"/>
    <n v="3684.05"/>
    <n v="1069.51"/>
    <n v="22.5"/>
    <x v="2"/>
    <n v="9.3000000000000007"/>
    <x v="4"/>
  </r>
  <r>
    <s v="INV00188"/>
    <n v="46158"/>
    <s v="21:20"/>
    <x v="2"/>
    <x v="0"/>
    <x v="1"/>
    <s v="Female"/>
    <x v="4"/>
    <n v="193.69"/>
    <x v="3"/>
    <n v="67.790000000000006"/>
    <n v="1423.62"/>
    <n v="1134.19"/>
    <n v="289.43"/>
    <n v="20.329999999999998"/>
    <x v="3"/>
    <n v="6.7"/>
    <x v="4"/>
  </r>
  <r>
    <s v="INV00262"/>
    <n v="46158"/>
    <s v="11:14"/>
    <x v="4"/>
    <x v="3"/>
    <x v="0"/>
    <s v="Female"/>
    <x v="3"/>
    <n v="434.17"/>
    <x v="3"/>
    <n v="151.96"/>
    <n v="3191.15"/>
    <n v="2579.66"/>
    <n v="611.49"/>
    <n v="19.16"/>
    <x v="4"/>
    <n v="8.9"/>
    <x v="4"/>
  </r>
  <r>
    <s v="INV00085"/>
    <n v="46159"/>
    <s v="19:02"/>
    <x v="3"/>
    <x v="2"/>
    <x v="0"/>
    <s v="Female"/>
    <x v="5"/>
    <n v="59.33"/>
    <x v="1"/>
    <n v="5.93"/>
    <n v="124.59"/>
    <n v="98.71"/>
    <n v="25.88"/>
    <n v="20.77"/>
    <x v="3"/>
    <n v="7.1"/>
    <x v="4"/>
  </r>
  <r>
    <s v="INV00251"/>
    <n v="46159"/>
    <s v="20:26"/>
    <x v="3"/>
    <x v="2"/>
    <x v="0"/>
    <s v="Male"/>
    <x v="1"/>
    <n v="190.24"/>
    <x v="2"/>
    <n v="38.049999999999997"/>
    <n v="799.01"/>
    <n v="591.42999999999995"/>
    <n v="207.58"/>
    <n v="25.98"/>
    <x v="4"/>
    <n v="7"/>
    <x v="4"/>
  </r>
  <r>
    <s v="INV00391"/>
    <n v="46159"/>
    <s v="13:47"/>
    <x v="4"/>
    <x v="3"/>
    <x v="1"/>
    <s v="Female"/>
    <x v="2"/>
    <n v="62.19"/>
    <x v="6"/>
    <n v="24.88"/>
    <n v="522.4"/>
    <n v="362.2"/>
    <n v="160.19999999999999"/>
    <n v="30.67"/>
    <x v="3"/>
    <n v="8.6999999999999993"/>
    <x v="4"/>
  </r>
  <r>
    <s v="INV00495"/>
    <n v="46159"/>
    <s v="14:15"/>
    <x v="2"/>
    <x v="0"/>
    <x v="0"/>
    <s v="Male"/>
    <x v="3"/>
    <n v="367.34"/>
    <x v="4"/>
    <n v="18.37"/>
    <n v="385.71"/>
    <n v="276.57"/>
    <n v="109.14"/>
    <n v="28.3"/>
    <x v="3"/>
    <n v="6.4"/>
    <x v="4"/>
  </r>
  <r>
    <s v="INV00171"/>
    <n v="46162"/>
    <s v="14:12"/>
    <x v="1"/>
    <x v="1"/>
    <x v="0"/>
    <s v="Male"/>
    <x v="4"/>
    <n v="163.38"/>
    <x v="9"/>
    <n v="24.51"/>
    <n v="514.65"/>
    <n v="347.1"/>
    <n v="167.55"/>
    <n v="32.56"/>
    <x v="1"/>
    <n v="8.3000000000000007"/>
    <x v="4"/>
  </r>
  <r>
    <s v="INV00236"/>
    <n v="46163"/>
    <s v="15:31"/>
    <x v="1"/>
    <x v="1"/>
    <x v="1"/>
    <s v="Female"/>
    <x v="0"/>
    <n v="157.83000000000001"/>
    <x v="4"/>
    <n v="7.89"/>
    <n v="165.72"/>
    <n v="123.59"/>
    <n v="42.13"/>
    <n v="25.42"/>
    <x v="4"/>
    <n v="5.9"/>
    <x v="4"/>
  </r>
  <r>
    <s v="INV00135"/>
    <n v="46164"/>
    <s v="09:42"/>
    <x v="4"/>
    <x v="3"/>
    <x v="0"/>
    <s v="Female"/>
    <x v="1"/>
    <n v="131.24"/>
    <x v="5"/>
    <n v="39.369999999999997"/>
    <n v="826.81"/>
    <n v="617.12"/>
    <n v="209.69"/>
    <n v="25.36"/>
    <x v="4"/>
    <n v="9.3000000000000007"/>
    <x v="4"/>
  </r>
  <r>
    <s v="INV00420"/>
    <n v="46164"/>
    <s v="14:56"/>
    <x v="1"/>
    <x v="1"/>
    <x v="0"/>
    <s v="Male"/>
    <x v="1"/>
    <n v="130.86000000000001"/>
    <x v="4"/>
    <n v="6.54"/>
    <n v="137.4"/>
    <n v="114.79"/>
    <n v="22.61"/>
    <n v="16.46"/>
    <x v="4"/>
    <n v="7.1"/>
    <x v="4"/>
  </r>
  <r>
    <s v="INV00500"/>
    <n v="46165"/>
    <s v="17:47"/>
    <x v="4"/>
    <x v="3"/>
    <x v="0"/>
    <s v="Female"/>
    <x v="6"/>
    <n v="214.37"/>
    <x v="8"/>
    <n v="107.18"/>
    <n v="2250.88"/>
    <n v="1857.33"/>
    <n v="393.55"/>
    <n v="17.48"/>
    <x v="4"/>
    <n v="6.4"/>
    <x v="4"/>
  </r>
  <r>
    <s v="INV00133"/>
    <n v="46166"/>
    <s v="13:15"/>
    <x v="0"/>
    <x v="0"/>
    <x v="1"/>
    <s v="Female"/>
    <x v="7"/>
    <n v="131.41"/>
    <x v="4"/>
    <n v="6.57"/>
    <n v="137.97999999999999"/>
    <n v="108.48"/>
    <n v="29.5"/>
    <n v="21.38"/>
    <x v="1"/>
    <n v="5.6"/>
    <x v="4"/>
  </r>
  <r>
    <s v="INV00446"/>
    <n v="46166"/>
    <s v="14:43"/>
    <x v="4"/>
    <x v="3"/>
    <x v="1"/>
    <s v="Female"/>
    <x v="1"/>
    <n v="154.46"/>
    <x v="8"/>
    <n v="77.23"/>
    <n v="1621.83"/>
    <n v="1275.43"/>
    <n v="346.4"/>
    <n v="21.36"/>
    <x v="2"/>
    <n v="6.3"/>
    <x v="4"/>
  </r>
  <r>
    <s v="INV00002"/>
    <n v="46167"/>
    <s v="12:04"/>
    <x v="4"/>
    <x v="3"/>
    <x v="1"/>
    <s v="Female"/>
    <x v="7"/>
    <n v="130.88"/>
    <x v="4"/>
    <n v="6.54"/>
    <n v="137.41999999999999"/>
    <n v="96.47"/>
    <n v="40.950000000000003"/>
    <n v="29.8"/>
    <x v="4"/>
    <n v="9.3000000000000007"/>
    <x v="4"/>
  </r>
  <r>
    <s v="INV00407"/>
    <n v="46167"/>
    <s v="15:13"/>
    <x v="3"/>
    <x v="2"/>
    <x v="0"/>
    <s v="Female"/>
    <x v="2"/>
    <n v="91.54"/>
    <x v="7"/>
    <n v="22.89"/>
    <n v="480.59"/>
    <n v="328.51"/>
    <n v="152.08000000000001"/>
    <n v="31.64"/>
    <x v="4"/>
    <n v="6.3"/>
    <x v="4"/>
  </r>
  <r>
    <s v="INV00025"/>
    <n v="46168"/>
    <s v="16:38"/>
    <x v="2"/>
    <x v="0"/>
    <x v="0"/>
    <s v="Male"/>
    <x v="2"/>
    <n v="98.73"/>
    <x v="7"/>
    <n v="24.68"/>
    <n v="518.33000000000004"/>
    <n v="387.28"/>
    <n v="131.05000000000001"/>
    <n v="25.28"/>
    <x v="3"/>
    <n v="7.8"/>
    <x v="4"/>
  </r>
  <r>
    <s v="INV00072"/>
    <n v="46168"/>
    <s v="11:10"/>
    <x v="0"/>
    <x v="0"/>
    <x v="1"/>
    <s v="Female"/>
    <x v="2"/>
    <n v="85.49"/>
    <x v="1"/>
    <n v="8.5500000000000007"/>
    <n v="179.53"/>
    <n v="132.34"/>
    <n v="47.19"/>
    <n v="26.29"/>
    <x v="4"/>
    <n v="8.8000000000000007"/>
    <x v="4"/>
  </r>
  <r>
    <s v="INV00240"/>
    <n v="46168"/>
    <s v="13:11"/>
    <x v="0"/>
    <x v="0"/>
    <x v="1"/>
    <s v="Male"/>
    <x v="3"/>
    <n v="304.08"/>
    <x v="4"/>
    <n v="15.2"/>
    <n v="319.27999999999997"/>
    <n v="253.79"/>
    <n v="65.489999999999995"/>
    <n v="20.51"/>
    <x v="1"/>
    <n v="8.8000000000000007"/>
    <x v="4"/>
  </r>
  <r>
    <s v="INV00366"/>
    <n v="46168"/>
    <s v="20:25"/>
    <x v="3"/>
    <x v="2"/>
    <x v="1"/>
    <s v="Female"/>
    <x v="7"/>
    <n v="69.489999999999995"/>
    <x v="0"/>
    <n v="31.27"/>
    <n v="656.68"/>
    <n v="505.67"/>
    <n v="151.01"/>
    <n v="23"/>
    <x v="4"/>
    <n v="8.1999999999999993"/>
    <x v="4"/>
  </r>
  <r>
    <s v="INV00429"/>
    <n v="46168"/>
    <s v="10:07"/>
    <x v="3"/>
    <x v="2"/>
    <x v="0"/>
    <s v="Female"/>
    <x v="5"/>
    <n v="59.14"/>
    <x v="6"/>
    <n v="23.66"/>
    <n v="496.78"/>
    <n v="387.75"/>
    <n v="109.03"/>
    <n v="21.95"/>
    <x v="1"/>
    <n v="6.6"/>
    <x v="4"/>
  </r>
  <r>
    <s v="INV00465"/>
    <n v="46168"/>
    <s v="17:51"/>
    <x v="4"/>
    <x v="3"/>
    <x v="0"/>
    <s v="Female"/>
    <x v="4"/>
    <n v="136.72999999999999"/>
    <x v="0"/>
    <n v="61.53"/>
    <n v="1292.0999999999999"/>
    <n v="970.1"/>
    <n v="322"/>
    <n v="24.92"/>
    <x v="1"/>
    <n v="7.7"/>
    <x v="4"/>
  </r>
  <r>
    <s v="INV00176"/>
    <n v="46169"/>
    <s v="10:22"/>
    <x v="0"/>
    <x v="0"/>
    <x v="1"/>
    <s v="Female"/>
    <x v="0"/>
    <n v="150.71"/>
    <x v="6"/>
    <n v="60.28"/>
    <n v="1265.96"/>
    <n v="1026.78"/>
    <n v="239.18"/>
    <n v="18.89"/>
    <x v="4"/>
    <n v="5.6"/>
    <x v="4"/>
  </r>
  <r>
    <s v="INV00290"/>
    <n v="46169"/>
    <s v="20:21"/>
    <x v="2"/>
    <x v="0"/>
    <x v="1"/>
    <s v="Female"/>
    <x v="0"/>
    <n v="139.16999999999999"/>
    <x v="4"/>
    <n v="6.96"/>
    <n v="146.13"/>
    <n v="107.2"/>
    <n v="38.93"/>
    <n v="26.64"/>
    <x v="4"/>
    <n v="7.9"/>
    <x v="4"/>
  </r>
  <r>
    <s v="INV00317"/>
    <n v="46169"/>
    <s v="09:28"/>
    <x v="3"/>
    <x v="2"/>
    <x v="1"/>
    <s v="Female"/>
    <x v="7"/>
    <n v="79.41"/>
    <x v="9"/>
    <n v="11.91"/>
    <n v="250.14"/>
    <n v="169.09"/>
    <n v="81.05"/>
    <n v="32.4"/>
    <x v="4"/>
    <n v="7.5"/>
    <x v="4"/>
  </r>
  <r>
    <s v="INV00449"/>
    <n v="46169"/>
    <s v="18:05"/>
    <x v="3"/>
    <x v="2"/>
    <x v="0"/>
    <s v="Female"/>
    <x v="0"/>
    <n v="139.61000000000001"/>
    <x v="4"/>
    <n v="6.98"/>
    <n v="146.59"/>
    <n v="120.43"/>
    <n v="26.16"/>
    <n v="17.850000000000001"/>
    <x v="2"/>
    <n v="8.9"/>
    <x v="4"/>
  </r>
  <r>
    <s v="INV00458"/>
    <n v="46169"/>
    <s v="09:58"/>
    <x v="2"/>
    <x v="0"/>
    <x v="0"/>
    <s v="Male"/>
    <x v="1"/>
    <n v="125.06"/>
    <x v="2"/>
    <n v="25.01"/>
    <n v="525.25"/>
    <n v="434.12"/>
    <n v="91.13"/>
    <n v="17.350000000000001"/>
    <x v="3"/>
    <n v="5.6"/>
    <x v="4"/>
  </r>
  <r>
    <s v="INV00273"/>
    <n v="46170"/>
    <s v="14:38"/>
    <x v="4"/>
    <x v="3"/>
    <x v="0"/>
    <s v="Female"/>
    <x v="1"/>
    <n v="128.97999999999999"/>
    <x v="9"/>
    <n v="19.350000000000001"/>
    <n v="406.29"/>
    <n v="332.96"/>
    <n v="73.33"/>
    <n v="18.05"/>
    <x v="0"/>
    <n v="7.4"/>
    <x v="4"/>
  </r>
  <r>
    <s v="INV00403"/>
    <n v="46170"/>
    <s v="14:07"/>
    <x v="2"/>
    <x v="0"/>
    <x v="1"/>
    <s v="Female"/>
    <x v="4"/>
    <n v="198.63"/>
    <x v="9"/>
    <n v="29.79"/>
    <n v="625.67999999999995"/>
    <n v="500.44"/>
    <n v="125.24"/>
    <n v="20.02"/>
    <x v="1"/>
    <n v="5.0999999999999996"/>
    <x v="4"/>
  </r>
  <r>
    <s v="INV00086"/>
    <n v="46171"/>
    <s v="14:44"/>
    <x v="3"/>
    <x v="2"/>
    <x v="1"/>
    <s v="Male"/>
    <x v="4"/>
    <n v="200.98"/>
    <x v="3"/>
    <n v="70.34"/>
    <n v="1477.2"/>
    <n v="1208.07"/>
    <n v="269.13"/>
    <n v="18.22"/>
    <x v="1"/>
    <n v="8.8000000000000007"/>
    <x v="4"/>
  </r>
  <r>
    <s v="INV00370"/>
    <n v="46171"/>
    <s v="17:22"/>
    <x v="0"/>
    <x v="0"/>
    <x v="1"/>
    <s v="Male"/>
    <x v="0"/>
    <n v="99.07"/>
    <x v="8"/>
    <n v="49.54"/>
    <n v="1040.24"/>
    <n v="716.3"/>
    <n v="323.94"/>
    <n v="31.14"/>
    <x v="0"/>
    <n v="9"/>
    <x v="4"/>
  </r>
  <r>
    <s v="INV00146"/>
    <n v="46172"/>
    <s v="13:39"/>
    <x v="0"/>
    <x v="0"/>
    <x v="0"/>
    <s v="Female"/>
    <x v="0"/>
    <n v="101.94"/>
    <x v="9"/>
    <n v="15.29"/>
    <n v="321.11"/>
    <n v="236.63"/>
    <n v="84.48"/>
    <n v="26.31"/>
    <x v="1"/>
    <n v="8.1999999999999993"/>
    <x v="4"/>
  </r>
  <r>
    <s v="INV00336"/>
    <n v="46172"/>
    <s v="09:55"/>
    <x v="0"/>
    <x v="0"/>
    <x v="0"/>
    <s v="Male"/>
    <x v="6"/>
    <n v="212.72"/>
    <x v="4"/>
    <n v="10.64"/>
    <n v="223.36"/>
    <n v="175.16"/>
    <n v="48.2"/>
    <n v="21.58"/>
    <x v="2"/>
    <n v="10"/>
    <x v="4"/>
  </r>
  <r>
    <s v="INV00306"/>
    <n v="46173"/>
    <s v="10:47"/>
    <x v="4"/>
    <x v="3"/>
    <x v="0"/>
    <s v="Male"/>
    <x v="2"/>
    <n v="98.99"/>
    <x v="6"/>
    <n v="39.6"/>
    <n v="831.52"/>
    <n v="677.08"/>
    <n v="154.44"/>
    <n v="18.57"/>
    <x v="1"/>
    <n v="6.2"/>
    <x v="4"/>
  </r>
  <r>
    <s v="INV00355"/>
    <n v="46173"/>
    <s v="15:32"/>
    <x v="0"/>
    <x v="0"/>
    <x v="1"/>
    <s v="Male"/>
    <x v="4"/>
    <n v="136.52000000000001"/>
    <x v="5"/>
    <n v="40.96"/>
    <n v="860.08"/>
    <n v="661.37"/>
    <n v="198.71"/>
    <n v="23.1"/>
    <x v="3"/>
    <n v="9.1"/>
    <x v="4"/>
  </r>
  <r>
    <s v="INV00361"/>
    <n v="46173"/>
    <s v="20:29"/>
    <x v="3"/>
    <x v="2"/>
    <x v="0"/>
    <s v="Female"/>
    <x v="2"/>
    <n v="92.5"/>
    <x v="6"/>
    <n v="37"/>
    <n v="777"/>
    <n v="635.83000000000004"/>
    <n v="141.16999999999999"/>
    <n v="18.170000000000002"/>
    <x v="4"/>
    <n v="6.8"/>
    <x v="4"/>
  </r>
  <r>
    <s v="INV00373"/>
    <n v="46173"/>
    <s v="20:01"/>
    <x v="0"/>
    <x v="0"/>
    <x v="0"/>
    <s v="Female"/>
    <x v="5"/>
    <n v="79.760000000000005"/>
    <x v="5"/>
    <n v="23.93"/>
    <n v="502.49"/>
    <n v="369.1"/>
    <n v="133.38999999999999"/>
    <n v="26.55"/>
    <x v="0"/>
    <n v="9.1"/>
    <x v="4"/>
  </r>
  <r>
    <s v="INV00450"/>
    <n v="46173"/>
    <s v="09:50"/>
    <x v="0"/>
    <x v="0"/>
    <x v="0"/>
    <s v="Female"/>
    <x v="7"/>
    <n v="120.49"/>
    <x v="8"/>
    <n v="60.24"/>
    <n v="1265.1400000000001"/>
    <n v="1036.43"/>
    <n v="228.71"/>
    <n v="18.079999999999998"/>
    <x v="2"/>
    <n v="8.1999999999999993"/>
    <x v="4"/>
  </r>
  <r>
    <s v="INV00015"/>
    <n v="46174"/>
    <s v="21:41"/>
    <x v="0"/>
    <x v="0"/>
    <x v="0"/>
    <s v="Female"/>
    <x v="1"/>
    <n v="164.67"/>
    <x v="2"/>
    <n v="32.93"/>
    <n v="691.61"/>
    <n v="524.51"/>
    <n v="167.1"/>
    <n v="24.16"/>
    <x v="4"/>
    <n v="7.1"/>
    <x v="5"/>
  </r>
  <r>
    <s v="INV00068"/>
    <n v="46174"/>
    <s v="09:45"/>
    <x v="4"/>
    <x v="3"/>
    <x v="1"/>
    <s v="Male"/>
    <x v="6"/>
    <n v="178.65"/>
    <x v="3"/>
    <n v="62.53"/>
    <n v="1313.08"/>
    <n v="968.69"/>
    <n v="344.39"/>
    <n v="26.23"/>
    <x v="3"/>
    <n v="7.3"/>
    <x v="5"/>
  </r>
  <r>
    <s v="INV00204"/>
    <n v="46174"/>
    <s v="19:19"/>
    <x v="4"/>
    <x v="3"/>
    <x v="1"/>
    <s v="Male"/>
    <x v="1"/>
    <n v="134.53"/>
    <x v="2"/>
    <n v="26.91"/>
    <n v="565.03"/>
    <n v="406.41"/>
    <n v="158.62"/>
    <n v="28.07"/>
    <x v="1"/>
    <m/>
    <x v="5"/>
  </r>
  <r>
    <s v="INV00427"/>
    <n v="46174"/>
    <s v="19:56"/>
    <x v="2"/>
    <x v="0"/>
    <x v="1"/>
    <s v="Female"/>
    <x v="4"/>
    <n v="198.29"/>
    <x v="9"/>
    <n v="29.74"/>
    <n v="624.61"/>
    <n v="475.01"/>
    <n v="149.6"/>
    <n v="23.95"/>
    <x v="4"/>
    <n v="9.3000000000000007"/>
    <x v="5"/>
  </r>
  <r>
    <s v="INV00351"/>
    <n v="46175"/>
    <s v="12:15"/>
    <x v="2"/>
    <x v="0"/>
    <x v="0"/>
    <s v="Female"/>
    <x v="1"/>
    <n v="167.28"/>
    <x v="3"/>
    <n v="58.55"/>
    <n v="1229.51"/>
    <n v="1012.67"/>
    <n v="216.84"/>
    <n v="17.64"/>
    <x v="0"/>
    <n v="7.6"/>
    <x v="5"/>
  </r>
  <r>
    <s v="INV00439"/>
    <n v="46175"/>
    <s v="13:43"/>
    <x v="1"/>
    <x v="1"/>
    <x v="1"/>
    <s v="Male"/>
    <x v="1"/>
    <n v="151.41999999999999"/>
    <x v="0"/>
    <n v="68.14"/>
    <n v="1430.92"/>
    <n v="1114.8800000000001"/>
    <n v="316.04000000000002"/>
    <n v="22.09"/>
    <x v="3"/>
    <n v="9.4"/>
    <x v="5"/>
  </r>
  <r>
    <s v="INV00222"/>
    <n v="46176"/>
    <s v="19:20"/>
    <x v="2"/>
    <x v="0"/>
    <x v="1"/>
    <s v="Female"/>
    <x v="4"/>
    <n v="298.45999999999998"/>
    <x v="2"/>
    <n v="59.69"/>
    <n v="1253.53"/>
    <n v="953.74"/>
    <n v="299.79000000000002"/>
    <n v="23.92"/>
    <x v="3"/>
    <n v="7.9"/>
    <x v="5"/>
  </r>
  <r>
    <s v="INV00261"/>
    <n v="46176"/>
    <s v="21:25"/>
    <x v="2"/>
    <x v="0"/>
    <x v="1"/>
    <s v="Female"/>
    <x v="4"/>
    <n v="146.99"/>
    <x v="8"/>
    <n v="73.5"/>
    <n v="1543.4"/>
    <n v="1284.8499999999999"/>
    <n v="258.55"/>
    <n v="16.75"/>
    <x v="4"/>
    <n v="6.7"/>
    <x v="5"/>
  </r>
  <r>
    <s v="INV00324"/>
    <n v="46176"/>
    <s v="20:36"/>
    <x v="3"/>
    <x v="2"/>
    <x v="1"/>
    <s v="Female"/>
    <x v="3"/>
    <n v="329.97"/>
    <x v="9"/>
    <n v="49.5"/>
    <n v="1039.4100000000001"/>
    <n v="766.67"/>
    <n v="272.74"/>
    <n v="26.24"/>
    <x v="3"/>
    <n v="9.6"/>
    <x v="5"/>
  </r>
  <r>
    <s v="INV00496"/>
    <n v="46176"/>
    <s v="09:11"/>
    <x v="3"/>
    <x v="2"/>
    <x v="0"/>
    <s v="Male"/>
    <x v="1"/>
    <n v="184.88"/>
    <x v="3"/>
    <n v="64.709999999999994"/>
    <n v="1358.87"/>
    <n v="961.14"/>
    <n v="397.73"/>
    <n v="29.27"/>
    <x v="2"/>
    <n v="7.7"/>
    <x v="5"/>
  </r>
  <r>
    <s v="INV00083"/>
    <n v="46177"/>
    <s v="16:53"/>
    <x v="3"/>
    <x v="2"/>
    <x v="1"/>
    <s v="Female"/>
    <x v="6"/>
    <n v="209.61"/>
    <x v="8"/>
    <n v="104.81"/>
    <n v="2200.91"/>
    <n v="1597.52"/>
    <n v="603.39"/>
    <n v="27.42"/>
    <x v="1"/>
    <n v="8.6"/>
    <x v="5"/>
  </r>
  <r>
    <s v="INV00248"/>
    <n v="46177"/>
    <s v="15:22"/>
    <x v="4"/>
    <x v="3"/>
    <x v="1"/>
    <s v="Male"/>
    <x v="7"/>
    <n v="127.53"/>
    <x v="4"/>
    <n v="6.38"/>
    <n v="133.91"/>
    <n v="103.73"/>
    <n v="30.18"/>
    <n v="22.54"/>
    <x v="4"/>
    <n v="8.6999999999999993"/>
    <x v="5"/>
  </r>
  <r>
    <s v="INV00026"/>
    <n v="46178"/>
    <s v="13:22"/>
    <x v="4"/>
    <x v="3"/>
    <x v="1"/>
    <s v="Male"/>
    <x v="6"/>
    <n v="209.15"/>
    <x v="5"/>
    <n v="62.74"/>
    <n v="1317.64"/>
    <n v="884.83"/>
    <n v="432.81"/>
    <n v="32.85"/>
    <x v="4"/>
    <n v="7.7"/>
    <x v="5"/>
  </r>
  <r>
    <s v="INV00137"/>
    <n v="46178"/>
    <s v="18:54"/>
    <x v="2"/>
    <x v="0"/>
    <x v="0"/>
    <s v="Female"/>
    <x v="7"/>
    <n v="89.96"/>
    <x v="6"/>
    <n v="35.979999999999997"/>
    <n v="755.66"/>
    <n v="530.13"/>
    <n v="225.53"/>
    <n v="29.85"/>
    <x v="4"/>
    <n v="6.9"/>
    <x v="5"/>
  </r>
  <r>
    <s v="INV00027"/>
    <n v="46179"/>
    <s v="21:13"/>
    <x v="0"/>
    <x v="0"/>
    <x v="0"/>
    <s v="Male"/>
    <x v="6"/>
    <n v="230.3"/>
    <x v="5"/>
    <n v="69.09"/>
    <n v="1450.89"/>
    <n v="1019.5"/>
    <n v="431.39"/>
    <n v="29.73"/>
    <x v="1"/>
    <n v="8.6999999999999993"/>
    <x v="5"/>
  </r>
  <r>
    <s v="INV00160"/>
    <n v="46179"/>
    <s v="19:42"/>
    <x v="1"/>
    <x v="1"/>
    <x v="1"/>
    <s v="Male"/>
    <x v="7"/>
    <n v="96.25"/>
    <x v="2"/>
    <n v="19.25"/>
    <n v="404.25"/>
    <n v="338.05"/>
    <n v="66.2"/>
    <n v="16.38"/>
    <x v="4"/>
    <n v="8.5"/>
    <x v="5"/>
  </r>
  <r>
    <s v="INV00045"/>
    <n v="46180"/>
    <s v="16:40"/>
    <x v="3"/>
    <x v="2"/>
    <x v="0"/>
    <s v="Female"/>
    <x v="7"/>
    <n v="62.17"/>
    <x v="0"/>
    <n v="27.98"/>
    <n v="587.51"/>
    <n v="447.4"/>
    <n v="140.11000000000001"/>
    <n v="23.85"/>
    <x v="4"/>
    <n v="9.1"/>
    <x v="5"/>
  </r>
  <r>
    <s v="INV00363"/>
    <n v="46180"/>
    <s v="18:43"/>
    <x v="2"/>
    <x v="0"/>
    <x v="0"/>
    <s v="Female"/>
    <x v="7"/>
    <n v="80.510000000000005"/>
    <x v="6"/>
    <n v="32.200000000000003"/>
    <n v="676.28"/>
    <n v="474.11"/>
    <n v="202.17"/>
    <n v="29.89"/>
    <x v="4"/>
    <n v="5.6"/>
    <x v="5"/>
  </r>
  <r>
    <s v="INV00147"/>
    <n v="46182"/>
    <s v="17:04"/>
    <x v="2"/>
    <x v="0"/>
    <x v="0"/>
    <s v="Female"/>
    <x v="7"/>
    <n v="73.489999999999995"/>
    <x v="9"/>
    <n v="11.02"/>
    <n v="231.49"/>
    <n v="180.04"/>
    <n v="51.45"/>
    <n v="22.23"/>
    <x v="1"/>
    <n v="7"/>
    <x v="5"/>
  </r>
  <r>
    <s v="INV00249"/>
    <n v="46182"/>
    <s v="18:12"/>
    <x v="4"/>
    <x v="3"/>
    <x v="0"/>
    <s v="Male"/>
    <x v="0"/>
    <n v="157.81"/>
    <x v="0"/>
    <n v="71.010000000000005"/>
    <n v="1491.3"/>
    <n v="1213.58"/>
    <n v="277.72000000000003"/>
    <n v="18.62"/>
    <x v="4"/>
    <n v="6.3"/>
    <x v="5"/>
  </r>
  <r>
    <s v="INV00089"/>
    <n v="46183"/>
    <s v="19:15"/>
    <x v="4"/>
    <x v="3"/>
    <x v="0"/>
    <s v="Female"/>
    <x v="1"/>
    <n v="108.29"/>
    <x v="7"/>
    <n v="27.07"/>
    <n v="568.52"/>
    <n v="435.75"/>
    <n v="132.77000000000001"/>
    <n v="23.35"/>
    <x v="0"/>
    <n v="6.8"/>
    <x v="5"/>
  </r>
  <r>
    <s v="INV00109"/>
    <n v="46183"/>
    <s v="10:35"/>
    <x v="0"/>
    <x v="0"/>
    <x v="0"/>
    <s v="Male"/>
    <x v="6"/>
    <n v="199.28"/>
    <x v="9"/>
    <n v="29.89"/>
    <n v="627.73"/>
    <n v="480.41"/>
    <n v="147.32"/>
    <n v="23.47"/>
    <x v="3"/>
    <n v="7.7"/>
    <x v="5"/>
  </r>
  <r>
    <s v="INV00460"/>
    <n v="46184"/>
    <s v="20:56"/>
    <x v="0"/>
    <x v="0"/>
    <x v="0"/>
    <s v="Female"/>
    <x v="2"/>
    <n v="61.93"/>
    <x v="8"/>
    <n v="30.96"/>
    <n v="650.26"/>
    <n v="464.66"/>
    <n v="185.6"/>
    <n v="28.54"/>
    <x v="0"/>
    <n v="8.1"/>
    <x v="5"/>
  </r>
  <r>
    <s v="INV00339"/>
    <n v="46185"/>
    <s v="18:34"/>
    <x v="2"/>
    <x v="0"/>
    <x v="1"/>
    <s v="Female"/>
    <x v="7"/>
    <n v="80.14"/>
    <x v="7"/>
    <n v="20.04"/>
    <n v="420.74"/>
    <n v="349.26"/>
    <n v="71.48"/>
    <n v="16.989999999999998"/>
    <x v="3"/>
    <n v="5.8"/>
    <x v="5"/>
  </r>
  <r>
    <s v="INV00226"/>
    <n v="46186"/>
    <s v="16:25"/>
    <x v="3"/>
    <x v="2"/>
    <x v="0"/>
    <s v="Female"/>
    <x v="2"/>
    <n v="94.22"/>
    <x v="7"/>
    <n v="23.56"/>
    <n v="494.66"/>
    <n v="348.85"/>
    <n v="145.81"/>
    <n v="29.48"/>
    <x v="0"/>
    <n v="6.7"/>
    <x v="5"/>
  </r>
  <r>
    <s v="INV00034"/>
    <n v="46187"/>
    <s v="10:24"/>
    <x v="4"/>
    <x v="3"/>
    <x v="1"/>
    <s v="Male"/>
    <x v="7"/>
    <n v="65.22"/>
    <x v="4"/>
    <n v="3.26"/>
    <n v="68.48"/>
    <n v="51.72"/>
    <n v="16.760000000000002"/>
    <n v="24.47"/>
    <x v="1"/>
    <n v="7.9"/>
    <x v="5"/>
  </r>
  <r>
    <s v="INV00107"/>
    <n v="46187"/>
    <s v="10:14"/>
    <x v="3"/>
    <x v="2"/>
    <x v="1"/>
    <s v="Female"/>
    <x v="4"/>
    <n v="288.11"/>
    <x v="7"/>
    <n v="72.03"/>
    <n v="1512.58"/>
    <n v="1093.32"/>
    <n v="419.26"/>
    <n v="27.72"/>
    <x v="3"/>
    <n v="6.5"/>
    <x v="5"/>
  </r>
  <r>
    <s v="INV00106"/>
    <n v="46188"/>
    <s v="10:53"/>
    <x v="3"/>
    <x v="2"/>
    <x v="1"/>
    <s v="Male"/>
    <x v="6"/>
    <n v="138.09"/>
    <x v="2"/>
    <n v="27.62"/>
    <n v="579.98"/>
    <n v="406.9"/>
    <n v="173.08"/>
    <n v="29.84"/>
    <x v="4"/>
    <n v="7.4"/>
    <x v="5"/>
  </r>
  <r>
    <s v="INV00084"/>
    <n v="46189"/>
    <s v="12:34"/>
    <x v="0"/>
    <x v="0"/>
    <x v="0"/>
    <s v="Male"/>
    <x v="3"/>
    <n v="383.77"/>
    <x v="6"/>
    <n v="153.51"/>
    <n v="3223.67"/>
    <n v="2378.0100000000002"/>
    <n v="845.66"/>
    <n v="26.23"/>
    <x v="3"/>
    <n v="6.4"/>
    <x v="5"/>
  </r>
  <r>
    <s v="INV00136"/>
    <n v="46189"/>
    <s v="09:15"/>
    <x v="3"/>
    <x v="2"/>
    <x v="1"/>
    <s v="Male"/>
    <x v="6"/>
    <n v="206.42"/>
    <x v="1"/>
    <n v="20.64"/>
    <n v="433.48"/>
    <n v="353.95"/>
    <n v="79.53"/>
    <n v="18.350000000000001"/>
    <x v="2"/>
    <n v="7.2"/>
    <x v="5"/>
  </r>
  <r>
    <s v="INV00329"/>
    <n v="46190"/>
    <s v="20:48"/>
    <x v="3"/>
    <x v="2"/>
    <x v="0"/>
    <s v="Female"/>
    <x v="2"/>
    <n v="65.540000000000006"/>
    <x v="1"/>
    <n v="6.55"/>
    <n v="137.63"/>
    <n v="114.14"/>
    <n v="23.49"/>
    <n v="17.07"/>
    <x v="0"/>
    <n v="7.6"/>
    <x v="5"/>
  </r>
  <r>
    <s v="INV00381"/>
    <n v="46190"/>
    <s v="14:12"/>
    <x v="0"/>
    <x v="0"/>
    <x v="1"/>
    <s v="Male"/>
    <x v="4"/>
    <n v="242.8"/>
    <x v="0"/>
    <n v="109.26"/>
    <n v="2294.46"/>
    <n v="1716.46"/>
    <n v="578"/>
    <n v="25.19"/>
    <x v="4"/>
    <n v="9.1"/>
    <x v="5"/>
  </r>
  <r>
    <s v="INV00422"/>
    <n v="46190"/>
    <s v="13:18"/>
    <x v="4"/>
    <x v="3"/>
    <x v="1"/>
    <s v="Male"/>
    <x v="6"/>
    <n v="178.73"/>
    <x v="8"/>
    <n v="89.36"/>
    <n v="1876.66"/>
    <n v="1481.2"/>
    <n v="395.46"/>
    <n v="21.07"/>
    <x v="4"/>
    <n v="7.3"/>
    <x v="5"/>
  </r>
  <r>
    <s v="INV00492"/>
    <n v="46190"/>
    <s v="10:36"/>
    <x v="2"/>
    <x v="0"/>
    <x v="1"/>
    <s v="Male"/>
    <x v="5"/>
    <n v="66.42"/>
    <x v="9"/>
    <n v="9.9600000000000009"/>
    <n v="209.22"/>
    <n v="149"/>
    <n v="60.22"/>
    <n v="28.78"/>
    <x v="4"/>
    <n v="7.2"/>
    <x v="5"/>
  </r>
  <r>
    <s v="INV00202"/>
    <n v="46191"/>
    <s v="11:29"/>
    <x v="0"/>
    <x v="0"/>
    <x v="1"/>
    <s v="Male"/>
    <x v="1"/>
    <n v="206.35"/>
    <x v="5"/>
    <n v="61.9"/>
    <n v="1300"/>
    <n v="987.38"/>
    <n v="312.62"/>
    <n v="24.05"/>
    <x v="4"/>
    <n v="6.4"/>
    <x v="5"/>
  </r>
  <r>
    <s v="INV00225"/>
    <n v="46191"/>
    <s v="21:53"/>
    <x v="3"/>
    <x v="2"/>
    <x v="1"/>
    <s v="Female"/>
    <x v="7"/>
    <n v="102.29"/>
    <x v="5"/>
    <n v="30.69"/>
    <n v="644.42999999999995"/>
    <n v="512.28"/>
    <n v="132.15"/>
    <n v="20.51"/>
    <x v="4"/>
    <n v="6.2"/>
    <x v="5"/>
  </r>
  <r>
    <s v="INV00409"/>
    <n v="46191"/>
    <s v="14:43"/>
    <x v="4"/>
    <x v="3"/>
    <x v="0"/>
    <s v="Female"/>
    <x v="4"/>
    <n v="172.12"/>
    <x v="5"/>
    <n v="51.64"/>
    <n v="1084.3599999999999"/>
    <n v="854.27"/>
    <n v="230.09"/>
    <n v="21.22"/>
    <x v="2"/>
    <n v="8.3000000000000007"/>
    <x v="5"/>
  </r>
  <r>
    <s v="INV00076"/>
    <n v="46192"/>
    <s v="16:38"/>
    <x v="1"/>
    <x v="1"/>
    <x v="1"/>
    <s v="Female"/>
    <x v="0"/>
    <n v="155.55000000000001"/>
    <x v="7"/>
    <n v="38.89"/>
    <n v="816.64"/>
    <n v="604.57000000000005"/>
    <n v="212.07"/>
    <n v="25.97"/>
    <x v="2"/>
    <n v="8.5"/>
    <x v="5"/>
  </r>
  <r>
    <s v="INV00128"/>
    <n v="46192"/>
    <s v="09:36"/>
    <x v="4"/>
    <x v="3"/>
    <x v="1"/>
    <s v="Female"/>
    <x v="2"/>
    <n v="89.68"/>
    <x v="8"/>
    <n v="44.84"/>
    <n v="941.64"/>
    <n v="770.72"/>
    <n v="170.92"/>
    <n v="18.149999999999999"/>
    <x v="2"/>
    <n v="8"/>
    <x v="5"/>
  </r>
  <r>
    <s v="INV00383"/>
    <n v="46192"/>
    <s v="10:11"/>
    <x v="2"/>
    <x v="0"/>
    <x v="0"/>
    <s v="Male"/>
    <x v="1"/>
    <n v="94.76"/>
    <x v="4"/>
    <n v="4.74"/>
    <n v="99.5"/>
    <n v="82.41"/>
    <n v="17.09"/>
    <n v="17.18"/>
    <x v="2"/>
    <n v="7.9"/>
    <x v="5"/>
  </r>
  <r>
    <s v="INV00004"/>
    <n v="46193"/>
    <s v="12:14"/>
    <x v="2"/>
    <x v="0"/>
    <x v="0"/>
    <s v="Female"/>
    <x v="2"/>
    <n v="91.94"/>
    <x v="5"/>
    <n v="27.58"/>
    <n v="579.22"/>
    <n v="419.27"/>
    <n v="159.94999999999999"/>
    <n v="27.61"/>
    <x v="4"/>
    <n v="9.5"/>
    <x v="5"/>
  </r>
  <r>
    <s v="INV00103"/>
    <n v="46193"/>
    <s v="09:59"/>
    <x v="3"/>
    <x v="2"/>
    <x v="0"/>
    <s v="Male"/>
    <x v="4"/>
    <n v="239.41"/>
    <x v="4"/>
    <n v="11.97"/>
    <n v="251.38"/>
    <n v="196.85"/>
    <n v="54.53"/>
    <n v="21.69"/>
    <x v="3"/>
    <n v="5.3"/>
    <x v="5"/>
  </r>
  <r>
    <s v="INV00229"/>
    <n v="46193"/>
    <s v="19:16"/>
    <x v="4"/>
    <x v="3"/>
    <x v="0"/>
    <s v="Male"/>
    <x v="4"/>
    <n v="157.47"/>
    <x v="6"/>
    <n v="62.99"/>
    <n v="1322.75"/>
    <n v="986.85"/>
    <n v="335.9"/>
    <n v="25.39"/>
    <x v="3"/>
    <n v="7.3"/>
    <x v="5"/>
  </r>
  <r>
    <s v="INV00232"/>
    <n v="46193"/>
    <s v="20:52"/>
    <x v="2"/>
    <x v="0"/>
    <x v="1"/>
    <s v="Female"/>
    <x v="2"/>
    <n v="94.62"/>
    <x v="8"/>
    <n v="47.31"/>
    <n v="993.51"/>
    <n v="802.64"/>
    <n v="190.87"/>
    <n v="19.21"/>
    <x v="3"/>
    <n v="6.4"/>
    <x v="5"/>
  </r>
  <r>
    <s v="INV00303"/>
    <n v="46193"/>
    <s v="16:08"/>
    <x v="2"/>
    <x v="0"/>
    <x v="1"/>
    <s v="Male"/>
    <x v="7"/>
    <n v="123.18"/>
    <x v="4"/>
    <n v="6.16"/>
    <n v="129.34"/>
    <n v="96.63"/>
    <n v="32.71"/>
    <n v="25.29"/>
    <x v="4"/>
    <n v="6.8"/>
    <x v="5"/>
  </r>
  <r>
    <s v="INV00359"/>
    <n v="46193"/>
    <s v="12:25"/>
    <x v="4"/>
    <x v="3"/>
    <x v="1"/>
    <s v="Female"/>
    <x v="7"/>
    <n v="115.48"/>
    <x v="9"/>
    <n v="17.32"/>
    <n v="363.76"/>
    <n v="265.92"/>
    <n v="97.84"/>
    <n v="26.9"/>
    <x v="4"/>
    <n v="7.1"/>
    <x v="5"/>
  </r>
  <r>
    <s v="INV00098"/>
    <n v="46194"/>
    <s v="11:47"/>
    <x v="2"/>
    <x v="0"/>
    <x v="1"/>
    <s v="Male"/>
    <x v="4"/>
    <n v="197.3"/>
    <x v="1"/>
    <n v="19.73"/>
    <n v="414.33"/>
    <n v="316.83999999999997"/>
    <n v="97.49"/>
    <n v="23.53"/>
    <x v="4"/>
    <n v="6"/>
    <x v="5"/>
  </r>
  <r>
    <s v="INV00125"/>
    <n v="46194"/>
    <s v="14:13"/>
    <x v="0"/>
    <x v="0"/>
    <x v="0"/>
    <s v="Male"/>
    <x v="7"/>
    <n v="112.9"/>
    <x v="2"/>
    <n v="22.58"/>
    <n v="474.18"/>
    <n v="385.81"/>
    <n v="88.37"/>
    <n v="18.64"/>
    <x v="1"/>
    <n v="8.5"/>
    <x v="5"/>
  </r>
  <r>
    <s v="INV00207"/>
    <n v="46194"/>
    <s v="10:00"/>
    <x v="0"/>
    <x v="0"/>
    <x v="0"/>
    <s v="Male"/>
    <x v="3"/>
    <n v="321.68"/>
    <x v="5"/>
    <n v="96.5"/>
    <n v="2026.58"/>
    <n v="1485.23"/>
    <n v="541.35"/>
    <n v="26.71"/>
    <x v="1"/>
    <n v="7"/>
    <x v="5"/>
  </r>
  <r>
    <s v="INV00298"/>
    <n v="46194"/>
    <s v="16:32"/>
    <x v="0"/>
    <x v="0"/>
    <x v="1"/>
    <s v="Female"/>
    <x v="7"/>
    <n v="92.72"/>
    <x v="4"/>
    <n v="4.6399999999999997"/>
    <n v="97.36"/>
    <n v="79.400000000000006"/>
    <n v="17.96"/>
    <n v="18.45"/>
    <x v="1"/>
    <n v="7.3"/>
    <x v="5"/>
  </r>
  <r>
    <s v="INV00376"/>
    <n v="46194"/>
    <s v="11:54"/>
    <x v="3"/>
    <x v="2"/>
    <x v="0"/>
    <s v="Male"/>
    <x v="4"/>
    <n v="298.47000000000003"/>
    <x v="0"/>
    <n v="134.31"/>
    <n v="2820.54"/>
    <n v="2028.34"/>
    <n v="792.2"/>
    <n v="28.09"/>
    <x v="1"/>
    <n v="7.1"/>
    <x v="5"/>
  </r>
  <r>
    <s v="INV00145"/>
    <n v="46195"/>
    <s v="11:40"/>
    <x v="3"/>
    <x v="2"/>
    <x v="1"/>
    <s v="Male"/>
    <x v="1"/>
    <n v="197.5"/>
    <x v="8"/>
    <n v="98.75"/>
    <n v="2073.75"/>
    <n v="1387.25"/>
    <n v="686.5"/>
    <n v="33.1"/>
    <x v="2"/>
    <n v="7.9"/>
    <x v="5"/>
  </r>
  <r>
    <s v="INV00269"/>
    <n v="46195"/>
    <s v="10:42"/>
    <x v="3"/>
    <x v="2"/>
    <x v="0"/>
    <s v="Female"/>
    <x v="3"/>
    <n v="384.06"/>
    <x v="5"/>
    <n v="115.22"/>
    <n v="2419.58"/>
    <n v="1849.96"/>
    <n v="569.62"/>
    <n v="23.54"/>
    <x v="4"/>
    <n v="6.9"/>
    <x v="5"/>
  </r>
  <r>
    <s v="INV00341"/>
    <n v="46195"/>
    <s v="12:52"/>
    <x v="2"/>
    <x v="0"/>
    <x v="1"/>
    <s v="Male"/>
    <x v="1"/>
    <n v="189.66"/>
    <x v="7"/>
    <n v="47.42"/>
    <n v="995.72"/>
    <n v="763.58"/>
    <n v="232.14"/>
    <n v="23.31"/>
    <x v="3"/>
    <n v="9.1"/>
    <x v="5"/>
  </r>
  <r>
    <s v="INV00418"/>
    <n v="46195"/>
    <s v="21:33"/>
    <x v="3"/>
    <x v="2"/>
    <x v="1"/>
    <s v="Female"/>
    <x v="0"/>
    <n v="128.84"/>
    <x v="1"/>
    <n v="12.88"/>
    <n v="270.56"/>
    <n v="220.98"/>
    <n v="49.58"/>
    <n v="18.32"/>
    <x v="4"/>
    <n v="7.4"/>
    <x v="5"/>
  </r>
  <r>
    <s v="INV00440"/>
    <n v="46195"/>
    <s v="10:29"/>
    <x v="0"/>
    <x v="0"/>
    <x v="0"/>
    <s v="Male"/>
    <x v="7"/>
    <n v="92.48"/>
    <x v="2"/>
    <n v="18.5"/>
    <n v="388.42"/>
    <n v="296.2"/>
    <n v="92.22"/>
    <n v="23.74"/>
    <x v="1"/>
    <n v="7.6"/>
    <x v="5"/>
  </r>
  <r>
    <s v="INV00038"/>
    <n v="46196"/>
    <s v="14:02"/>
    <x v="0"/>
    <x v="0"/>
    <x v="0"/>
    <s v="Female"/>
    <x v="4"/>
    <n v="192.17"/>
    <x v="0"/>
    <n v="86.48"/>
    <n v="1816.01"/>
    <n v="1434.99"/>
    <n v="381.02"/>
    <n v="20.98"/>
    <x v="1"/>
    <n v="6.6"/>
    <x v="5"/>
  </r>
  <r>
    <s v="INV00182"/>
    <n v="46197"/>
    <s v="18:06"/>
    <x v="0"/>
    <x v="0"/>
    <x v="1"/>
    <s v="Male"/>
    <x v="4"/>
    <n v="275.39"/>
    <x v="0"/>
    <n v="123.93"/>
    <n v="2602.44"/>
    <n v="1994.17"/>
    <n v="608.27"/>
    <n v="23.37"/>
    <x v="1"/>
    <n v="5.3"/>
    <x v="5"/>
  </r>
  <r>
    <s v="INV00282"/>
    <n v="46197"/>
    <s v="17:31"/>
    <x v="3"/>
    <x v="2"/>
    <x v="0"/>
    <s v="Male"/>
    <x v="7"/>
    <n v="124.71"/>
    <x v="2"/>
    <n v="24.94"/>
    <n v="523.78"/>
    <n v="412.59"/>
    <n v="111.19"/>
    <n v="21.23"/>
    <x v="1"/>
    <n v="6.1"/>
    <x v="5"/>
  </r>
  <r>
    <s v="INV00040"/>
    <n v="46198"/>
    <s v="10:10"/>
    <x v="2"/>
    <x v="0"/>
    <x v="1"/>
    <s v="Male"/>
    <x v="1"/>
    <n v="117"/>
    <x v="9"/>
    <n v="17.55"/>
    <n v="368.55"/>
    <n v="273.89"/>
    <n v="94.66"/>
    <n v="25.68"/>
    <x v="2"/>
    <n v="7.4"/>
    <x v="5"/>
  </r>
  <r>
    <s v="INV00266"/>
    <n v="46198"/>
    <s v="17:22"/>
    <x v="1"/>
    <x v="1"/>
    <x v="1"/>
    <s v="Female"/>
    <x v="7"/>
    <n v="132.16"/>
    <x v="0"/>
    <n v="59.47"/>
    <n v="1248.9100000000001"/>
    <n v="976.97"/>
    <n v="271.94"/>
    <n v="21.77"/>
    <x v="2"/>
    <n v="5.0999999999999996"/>
    <x v="5"/>
  </r>
  <r>
    <s v="INV00386"/>
    <n v="46198"/>
    <s v="13:50"/>
    <x v="4"/>
    <x v="3"/>
    <x v="1"/>
    <s v="Female"/>
    <x v="4"/>
    <n v="248.45"/>
    <x v="8"/>
    <n v="124.22"/>
    <n v="2608.7199999999998"/>
    <n v="1976.12"/>
    <n v="632.6"/>
    <n v="24.25"/>
    <x v="0"/>
    <n v="8.5"/>
    <x v="5"/>
  </r>
  <r>
    <s v="INV00142"/>
    <n v="46199"/>
    <s v="15:24"/>
    <x v="3"/>
    <x v="2"/>
    <x v="1"/>
    <s v="Male"/>
    <x v="3"/>
    <n v="250.72"/>
    <x v="9"/>
    <n v="37.61"/>
    <n v="789.77"/>
    <n v="637.61"/>
    <n v="152.16"/>
    <n v="19.27"/>
    <x v="2"/>
    <n v="7.8"/>
    <x v="5"/>
  </r>
  <r>
    <s v="INV00322"/>
    <n v="46199"/>
    <s v="17:12"/>
    <x v="1"/>
    <x v="1"/>
    <x v="1"/>
    <s v="Female"/>
    <x v="1"/>
    <n v="199.36"/>
    <x v="6"/>
    <n v="79.739999999999995"/>
    <n v="1674.62"/>
    <n v="1331.09"/>
    <n v="343.53"/>
    <n v="20.51"/>
    <x v="2"/>
    <n v="6.3"/>
    <x v="5"/>
  </r>
  <r>
    <s v="INV00401"/>
    <n v="46199"/>
    <s v="16:20"/>
    <x v="0"/>
    <x v="0"/>
    <x v="1"/>
    <s v="Female"/>
    <x v="4"/>
    <n v="171.59"/>
    <x v="5"/>
    <n v="51.48"/>
    <n v="1081.02"/>
    <n v="752.2"/>
    <n v="328.82"/>
    <n v="30.42"/>
    <x v="4"/>
    <n v="7.5"/>
    <x v="5"/>
  </r>
  <r>
    <s v="INV00441"/>
    <n v="46199"/>
    <s v="15:19"/>
    <x v="0"/>
    <x v="0"/>
    <x v="0"/>
    <s v="Male"/>
    <x v="4"/>
    <n v="225.7"/>
    <x v="9"/>
    <n v="33.85"/>
    <n v="710.95"/>
    <n v="557.70000000000005"/>
    <n v="153.25"/>
    <n v="21.56"/>
    <x v="4"/>
    <n v="6.7"/>
    <x v="5"/>
  </r>
  <r>
    <s v="INV00010"/>
    <n v="46200"/>
    <s v="17:07"/>
    <x v="1"/>
    <x v="1"/>
    <x v="1"/>
    <s v="Male"/>
    <x v="2"/>
    <n v="69.84"/>
    <x v="8"/>
    <n v="34.92"/>
    <n v="733.32"/>
    <n v="540.59"/>
    <n v="192.73"/>
    <n v="26.28"/>
    <x v="2"/>
    <n v="6.5"/>
    <x v="5"/>
  </r>
  <r>
    <s v="INV00018"/>
    <n v="46200"/>
    <s v="20:36"/>
    <x v="2"/>
    <x v="0"/>
    <x v="0"/>
    <s v="Male"/>
    <x v="2"/>
    <n v="84.85"/>
    <x v="5"/>
    <n v="25.46"/>
    <n v="534.55999999999995"/>
    <n v="394.8"/>
    <n v="139.76"/>
    <n v="26.14"/>
    <x v="2"/>
    <n v="8"/>
    <x v="5"/>
  </r>
  <r>
    <s v="INV00140"/>
    <n v="46201"/>
    <s v="10:29"/>
    <x v="4"/>
    <x v="3"/>
    <x v="0"/>
    <s v="Male"/>
    <x v="3"/>
    <n v="384.23"/>
    <x v="7"/>
    <n v="96.06"/>
    <n v="2017.21"/>
    <n v="1528.63"/>
    <n v="488.58"/>
    <n v="24.22"/>
    <x v="0"/>
    <n v="7.8"/>
    <x v="5"/>
  </r>
  <r>
    <s v="INV00184"/>
    <n v="46201"/>
    <s v="14:57"/>
    <x v="4"/>
    <x v="3"/>
    <x v="0"/>
    <s v="Female"/>
    <x v="5"/>
    <n v="70.459999999999994"/>
    <x v="3"/>
    <n v="24.66"/>
    <n v="517.88"/>
    <n v="393.91"/>
    <n v="123.97"/>
    <n v="23.94"/>
    <x v="1"/>
    <n v="7.2"/>
    <x v="5"/>
  </r>
  <r>
    <s v="INV00246"/>
    <n v="46201"/>
    <s v="10:05"/>
    <x v="4"/>
    <x v="3"/>
    <x v="0"/>
    <s v="Female"/>
    <x v="0"/>
    <n v="114.82"/>
    <x v="5"/>
    <n v="34.450000000000003"/>
    <n v="723.37"/>
    <n v="592.41999999999996"/>
    <n v="130.94999999999999"/>
    <n v="18.100000000000001"/>
    <x v="1"/>
    <n v="10"/>
    <x v="5"/>
  </r>
  <r>
    <s v="INV00382"/>
    <n v="46201"/>
    <s v="12:21"/>
    <x v="1"/>
    <x v="1"/>
    <x v="1"/>
    <s v="Female"/>
    <x v="5"/>
    <n v="97.05"/>
    <x v="4"/>
    <n v="4.8499999999999996"/>
    <n v="101.9"/>
    <n v="68.900000000000006"/>
    <n v="33"/>
    <n v="32.380000000000003"/>
    <x v="4"/>
    <n v="7.8"/>
    <x v="5"/>
  </r>
  <r>
    <s v="INV00095"/>
    <n v="46202"/>
    <s v="10:35"/>
    <x v="1"/>
    <x v="1"/>
    <x v="1"/>
    <s v="Male"/>
    <x v="0"/>
    <n v="154.37"/>
    <x v="5"/>
    <n v="46.31"/>
    <n v="972.53"/>
    <n v="692.97"/>
    <n v="279.56"/>
    <n v="28.75"/>
    <x v="0"/>
    <n v="7.9"/>
    <x v="5"/>
  </r>
  <r>
    <s v="INV00320"/>
    <n v="46202"/>
    <s v="16:55"/>
    <x v="3"/>
    <x v="2"/>
    <x v="1"/>
    <s v="Female"/>
    <x v="3"/>
    <n v="445.88"/>
    <x v="6"/>
    <n v="178.35"/>
    <n v="3745.39"/>
    <n v="2541.7399999999998"/>
    <n v="1203.6500000000001"/>
    <n v="32.14"/>
    <x v="4"/>
    <n v="7.6"/>
    <x v="5"/>
  </r>
  <r>
    <s v="INV00055"/>
    <n v="46203"/>
    <s v="14:39"/>
    <x v="2"/>
    <x v="0"/>
    <x v="0"/>
    <s v="Male"/>
    <x v="0"/>
    <n v="153.49"/>
    <x v="2"/>
    <n v="30.7"/>
    <n v="644.66"/>
    <n v="471.05"/>
    <n v="173.61"/>
    <n v="26.93"/>
    <x v="4"/>
    <n v="6.9"/>
    <x v="5"/>
  </r>
  <r>
    <s v="INV00099"/>
    <n v="46204"/>
    <s v="13:47"/>
    <x v="0"/>
    <x v="0"/>
    <x v="0"/>
    <s v="Female"/>
    <x v="4"/>
    <n v="236.24"/>
    <x v="9"/>
    <n v="35.44"/>
    <n v="744.16"/>
    <n v="621.91999999999996"/>
    <n v="122.24"/>
    <n v="16.43"/>
    <x v="0"/>
    <n v="8"/>
    <x v="6"/>
  </r>
  <r>
    <s v="INV00454"/>
    <n v="46204"/>
    <s v="16:20"/>
    <x v="4"/>
    <x v="3"/>
    <x v="0"/>
    <s v="Female"/>
    <x v="0"/>
    <n v="72.989999999999995"/>
    <x v="9"/>
    <n v="10.95"/>
    <n v="229.92"/>
    <n v="173.49"/>
    <n v="56.43"/>
    <n v="24.54"/>
    <x v="4"/>
    <n v="7.4"/>
    <x v="6"/>
  </r>
  <r>
    <s v="INV00288"/>
    <n v="46205"/>
    <s v="15:12"/>
    <x v="2"/>
    <x v="0"/>
    <x v="1"/>
    <s v="Female"/>
    <x v="3"/>
    <n v="244.57"/>
    <x v="6"/>
    <n v="97.83"/>
    <n v="2054.39"/>
    <n v="1515.68"/>
    <n v="538.71"/>
    <n v="26.22"/>
    <x v="4"/>
    <n v="7.4"/>
    <x v="6"/>
  </r>
  <r>
    <s v="INV00311"/>
    <n v="46205"/>
    <s v="16:09"/>
    <x v="2"/>
    <x v="0"/>
    <x v="1"/>
    <s v="Male"/>
    <x v="0"/>
    <n v="141.41999999999999"/>
    <x v="2"/>
    <n v="28.28"/>
    <n v="593.96"/>
    <n v="480.78"/>
    <n v="113.18"/>
    <n v="19.059999999999999"/>
    <x v="4"/>
    <n v="6.4"/>
    <x v="6"/>
  </r>
  <r>
    <s v="INV00345"/>
    <n v="46205"/>
    <s v="09:48"/>
    <x v="3"/>
    <x v="2"/>
    <x v="0"/>
    <s v="Female"/>
    <x v="1"/>
    <n v="110.82"/>
    <x v="1"/>
    <n v="11.08"/>
    <n v="232.72"/>
    <n v="184.69"/>
    <n v="48.03"/>
    <n v="20.64"/>
    <x v="4"/>
    <n v="6.7"/>
    <x v="6"/>
  </r>
  <r>
    <s v="INV00464"/>
    <n v="46205"/>
    <s v="18:45"/>
    <x v="2"/>
    <x v="0"/>
    <x v="0"/>
    <s v="Female"/>
    <x v="3"/>
    <n v="303.17"/>
    <x v="0"/>
    <n v="136.43"/>
    <n v="2864.96"/>
    <n v="2329.5300000000002"/>
    <n v="535.42999999999995"/>
    <n v="18.690000000000001"/>
    <x v="0"/>
    <n v="9.1"/>
    <x v="6"/>
  </r>
  <r>
    <s v="INV00214"/>
    <n v="46206"/>
    <s v="15:18"/>
    <x v="0"/>
    <x v="0"/>
    <x v="0"/>
    <s v="Female"/>
    <x v="6"/>
    <n v="204.52"/>
    <x v="3"/>
    <n v="71.58"/>
    <n v="1503.22"/>
    <n v="1194.33"/>
    <n v="308.89"/>
    <n v="20.55"/>
    <x v="2"/>
    <n v="7.6"/>
    <x v="6"/>
  </r>
  <r>
    <s v="INV00307"/>
    <n v="46206"/>
    <s v="16:57"/>
    <x v="2"/>
    <x v="0"/>
    <x v="0"/>
    <s v="Female"/>
    <x v="0"/>
    <n v="117.49"/>
    <x v="9"/>
    <n v="17.62"/>
    <n v="370.09"/>
    <n v="275.99"/>
    <n v="94.1"/>
    <n v="25.43"/>
    <x v="2"/>
    <n v="8.6999999999999993"/>
    <x v="6"/>
  </r>
  <r>
    <s v="INV00130"/>
    <n v="46207"/>
    <s v="21:19"/>
    <x v="2"/>
    <x v="0"/>
    <x v="1"/>
    <s v="Female"/>
    <x v="4"/>
    <n v="270.63"/>
    <x v="0"/>
    <n v="121.78"/>
    <n v="2557.4499999999998"/>
    <n v="2018.28"/>
    <n v="539.16999999999996"/>
    <n v="21.08"/>
    <x v="1"/>
    <n v="7.2"/>
    <x v="6"/>
  </r>
  <r>
    <s v="INV00244"/>
    <n v="46207"/>
    <s v="13:57"/>
    <x v="3"/>
    <x v="2"/>
    <x v="0"/>
    <s v="Female"/>
    <x v="6"/>
    <n v="177.46"/>
    <x v="7"/>
    <n v="44.37"/>
    <n v="931.67"/>
    <n v="663.28"/>
    <n v="268.39"/>
    <n v="28.81"/>
    <x v="4"/>
    <n v="8"/>
    <x v="6"/>
  </r>
  <r>
    <s v="INV00059"/>
    <n v="46208"/>
    <s v="18:16"/>
    <x v="0"/>
    <x v="0"/>
    <x v="1"/>
    <s v="Male"/>
    <x v="2"/>
    <n v="51.87"/>
    <x v="7"/>
    <n v="12.97"/>
    <n v="272.32"/>
    <n v="223.73"/>
    <n v="48.59"/>
    <n v="17.84"/>
    <x v="4"/>
    <n v="6.6"/>
    <x v="6"/>
  </r>
  <r>
    <s v="INV00108"/>
    <n v="46208"/>
    <s v="14:26"/>
    <x v="1"/>
    <x v="1"/>
    <x v="0"/>
    <s v="Female"/>
    <x v="3"/>
    <n v="225.01"/>
    <x v="9"/>
    <n v="33.75"/>
    <n v="708.78"/>
    <n v="538.95000000000005"/>
    <n v="169.83"/>
    <n v="23.96"/>
    <x v="2"/>
    <n v="7.8"/>
    <x v="6"/>
  </r>
  <r>
    <s v="INV00144"/>
    <n v="46208"/>
    <s v="12:15"/>
    <x v="3"/>
    <x v="2"/>
    <x v="0"/>
    <s v="Male"/>
    <x v="3"/>
    <n v="244.5"/>
    <x v="9"/>
    <n v="36.68"/>
    <n v="770.18"/>
    <n v="577.4"/>
    <n v="192.78"/>
    <n v="25.03"/>
    <x v="4"/>
    <n v="6.6"/>
    <x v="6"/>
  </r>
  <r>
    <s v="INV00031"/>
    <n v="46209"/>
    <s v="10:19"/>
    <x v="2"/>
    <x v="0"/>
    <x v="1"/>
    <s v="Male"/>
    <x v="2"/>
    <n v="59.75"/>
    <x v="9"/>
    <n v="8.9600000000000009"/>
    <n v="188.21"/>
    <n v="138.66"/>
    <n v="49.55"/>
    <n v="26.33"/>
    <x v="4"/>
    <n v="7.9"/>
    <x v="6"/>
  </r>
  <r>
    <s v="INV00111"/>
    <n v="46209"/>
    <s v="11:46"/>
    <x v="3"/>
    <x v="2"/>
    <x v="0"/>
    <s v="Male"/>
    <x v="1"/>
    <n v="95.61"/>
    <x v="3"/>
    <n v="33.46"/>
    <n v="702.73"/>
    <n v="582.35"/>
    <n v="120.38"/>
    <n v="17.13"/>
    <x v="3"/>
    <n v="6.7"/>
    <x v="6"/>
  </r>
  <r>
    <s v="INV00154"/>
    <n v="46209"/>
    <s v="14:58"/>
    <x v="2"/>
    <x v="0"/>
    <x v="0"/>
    <s v="Male"/>
    <x v="2"/>
    <n v="62.93"/>
    <x v="7"/>
    <n v="15.73"/>
    <n v="330.38"/>
    <n v="262.33999999999997"/>
    <n v="68.040000000000006"/>
    <n v="20.59"/>
    <x v="4"/>
    <n v="7.3"/>
    <x v="6"/>
  </r>
  <r>
    <s v="INV00315"/>
    <n v="46209"/>
    <s v="21:17"/>
    <x v="4"/>
    <x v="3"/>
    <x v="1"/>
    <s v="Male"/>
    <x v="2"/>
    <n v="68.06"/>
    <x v="6"/>
    <n v="27.22"/>
    <n v="571.70000000000005"/>
    <n v="471.8"/>
    <n v="99.9"/>
    <n v="17.47"/>
    <x v="4"/>
    <n v="6.6"/>
    <x v="6"/>
  </r>
  <r>
    <s v="INV00221"/>
    <n v="46210"/>
    <s v="11:00"/>
    <x v="1"/>
    <x v="1"/>
    <x v="0"/>
    <s v="Female"/>
    <x v="0"/>
    <n v="91.54"/>
    <x v="5"/>
    <n v="27.46"/>
    <n v="576.70000000000005"/>
    <n v="427.09"/>
    <n v="149.61000000000001"/>
    <n v="25.94"/>
    <x v="4"/>
    <n v="9.1999999999999993"/>
    <x v="6"/>
  </r>
  <r>
    <s v="INV00242"/>
    <n v="46210"/>
    <s v="17:19"/>
    <x v="4"/>
    <x v="3"/>
    <x v="0"/>
    <s v="Female"/>
    <x v="3"/>
    <n v="260.02999999999997"/>
    <x v="2"/>
    <n v="52.01"/>
    <n v="1092.1300000000001"/>
    <n v="768.75"/>
    <n v="323.38"/>
    <n v="29.61"/>
    <x v="4"/>
    <n v="7.6"/>
    <x v="6"/>
  </r>
  <r>
    <s v="INV00314"/>
    <n v="46210"/>
    <s v="12:36"/>
    <x v="4"/>
    <x v="3"/>
    <x v="0"/>
    <s v="Male"/>
    <x v="0"/>
    <n v="77.92"/>
    <x v="1"/>
    <n v="7.79"/>
    <n v="163.63"/>
    <n v="112.18"/>
    <n v="51.45"/>
    <n v="31.44"/>
    <x v="2"/>
    <n v="7.1"/>
    <x v="6"/>
  </r>
  <r>
    <s v="INV00340"/>
    <n v="46210"/>
    <s v="16:51"/>
    <x v="0"/>
    <x v="0"/>
    <x v="1"/>
    <s v="Male"/>
    <x v="5"/>
    <n v="97.69"/>
    <x v="0"/>
    <n v="43.96"/>
    <n v="923.17"/>
    <n v="754.97"/>
    <n v="168.2"/>
    <n v="18.22"/>
    <x v="2"/>
    <n v="7.6"/>
    <x v="6"/>
  </r>
  <r>
    <s v="INV00484"/>
    <n v="46210"/>
    <s v="18:22"/>
    <x v="2"/>
    <x v="0"/>
    <x v="1"/>
    <s v="Male"/>
    <x v="1"/>
    <n v="205.35"/>
    <x v="1"/>
    <n v="20.54"/>
    <n v="431.24"/>
    <n v="326.08"/>
    <n v="105.16"/>
    <n v="24.39"/>
    <x v="3"/>
    <n v="7.6"/>
    <x v="6"/>
  </r>
  <r>
    <s v="INV00012"/>
    <n v="46211"/>
    <s v="17:29"/>
    <x v="4"/>
    <x v="3"/>
    <x v="0"/>
    <s v="Female"/>
    <x v="6"/>
    <n v="209.33"/>
    <x v="1"/>
    <n v="20.93"/>
    <n v="439.59"/>
    <n v="341.14"/>
    <n v="98.45"/>
    <n v="22.4"/>
    <x v="3"/>
    <n v="7.2"/>
    <x v="6"/>
  </r>
  <r>
    <s v="INV00091"/>
    <n v="46212"/>
    <s v="20:22"/>
    <x v="0"/>
    <x v="0"/>
    <x v="0"/>
    <s v="Female"/>
    <x v="1"/>
    <n v="181.39"/>
    <x v="9"/>
    <n v="27.21"/>
    <n v="571.38"/>
    <n v="401.67"/>
    <n v="169.71"/>
    <n v="29.7"/>
    <x v="2"/>
    <n v="9.6999999999999993"/>
    <x v="6"/>
  </r>
  <r>
    <s v="INV00235"/>
    <n v="46212"/>
    <s v="21:03"/>
    <x v="0"/>
    <x v="0"/>
    <x v="0"/>
    <s v="Female"/>
    <x v="3"/>
    <n v="326.44"/>
    <x v="0"/>
    <n v="146.9"/>
    <n v="3084.86"/>
    <n v="2491.09"/>
    <n v="593.77"/>
    <n v="19.25"/>
    <x v="4"/>
    <n v="7.4"/>
    <x v="6"/>
  </r>
  <r>
    <s v="INV00436"/>
    <n v="46212"/>
    <s v="20:13"/>
    <x v="1"/>
    <x v="1"/>
    <x v="1"/>
    <s v="Male"/>
    <x v="4"/>
    <n v="139.75"/>
    <x v="2"/>
    <n v="27.95"/>
    <n v="586.95000000000005"/>
    <n v="392.89"/>
    <n v="194.06"/>
    <n v="33.06"/>
    <x v="0"/>
    <n v="9"/>
    <x v="6"/>
  </r>
  <r>
    <s v="INV00491"/>
    <n v="46213"/>
    <s v="18:18"/>
    <x v="2"/>
    <x v="0"/>
    <x v="1"/>
    <s v="Male"/>
    <x v="2"/>
    <n v="65.98"/>
    <x v="6"/>
    <n v="26.39"/>
    <n v="554.23"/>
    <n v="391.54"/>
    <n v="162.69"/>
    <n v="29.35"/>
    <x v="3"/>
    <n v="7.2"/>
    <x v="6"/>
  </r>
  <r>
    <s v="INV00430"/>
    <n v="46214"/>
    <s v="18:10"/>
    <x v="0"/>
    <x v="0"/>
    <x v="0"/>
    <s v="Female"/>
    <x v="4"/>
    <n v="223.16"/>
    <x v="5"/>
    <n v="66.95"/>
    <n v="1405.91"/>
    <n v="985.29"/>
    <n v="420.62"/>
    <n v="29.92"/>
    <x v="2"/>
    <n v="8"/>
    <x v="6"/>
  </r>
  <r>
    <s v="INV00301"/>
    <n v="46215"/>
    <s v="10:31"/>
    <x v="0"/>
    <x v="0"/>
    <x v="1"/>
    <s v="Female"/>
    <x v="5"/>
    <n v="74.319999999999993"/>
    <x v="9"/>
    <n v="11.15"/>
    <n v="234.11"/>
    <n v="180.9"/>
    <n v="53.21"/>
    <n v="22.73"/>
    <x v="2"/>
    <n v="5.4"/>
    <x v="6"/>
  </r>
  <r>
    <s v="INV00124"/>
    <n v="46216"/>
    <s v="21:24"/>
    <x v="0"/>
    <x v="0"/>
    <x v="0"/>
    <s v="Male"/>
    <x v="6"/>
    <n v="183.88"/>
    <x v="8"/>
    <n v="91.94"/>
    <n v="1930.74"/>
    <n v="1489.5"/>
    <n v="441.24"/>
    <n v="22.85"/>
    <x v="3"/>
    <n v="7.3"/>
    <x v="6"/>
  </r>
  <r>
    <s v="INV00410"/>
    <n v="46216"/>
    <s v="15:45"/>
    <x v="0"/>
    <x v="0"/>
    <x v="0"/>
    <s v="Male"/>
    <x v="3"/>
    <m/>
    <x v="9"/>
    <n v="56.44"/>
    <n v="1185.28"/>
    <n v="915.6"/>
    <n v="269.68"/>
    <n v="22.75"/>
    <x v="3"/>
    <n v="5.2"/>
    <x v="6"/>
  </r>
  <r>
    <s v="INV00186"/>
    <n v="46217"/>
    <s v="09:51"/>
    <x v="1"/>
    <x v="1"/>
    <x v="0"/>
    <s v="Female"/>
    <x v="7"/>
    <n v="91.35"/>
    <x v="6"/>
    <n v="36.54"/>
    <n v="767.34"/>
    <n v="557.63"/>
    <n v="209.71"/>
    <n v="27.33"/>
    <x v="3"/>
    <n v="10"/>
    <x v="6"/>
  </r>
  <r>
    <s v="INV00192"/>
    <n v="46217"/>
    <s v="11:55"/>
    <x v="4"/>
    <x v="3"/>
    <x v="0"/>
    <s v="Female"/>
    <x v="6"/>
    <n v="200.42"/>
    <x v="0"/>
    <n v="90.19"/>
    <n v="1893.97"/>
    <n v="1388.17"/>
    <n v="505.8"/>
    <n v="26.71"/>
    <x v="4"/>
    <n v="6.9"/>
    <x v="6"/>
  </r>
  <r>
    <s v="INV00118"/>
    <n v="46218"/>
    <s v="10:14"/>
    <x v="0"/>
    <x v="0"/>
    <x v="0"/>
    <s v="Female"/>
    <x v="4"/>
    <n v="230.35"/>
    <x v="1"/>
    <n v="23.04"/>
    <n v="483.74"/>
    <n v="331.97"/>
    <n v="151.77000000000001"/>
    <n v="31.37"/>
    <x v="4"/>
    <n v="7.8"/>
    <x v="6"/>
  </r>
  <r>
    <s v="INV00148"/>
    <n v="46219"/>
    <s v="18:56"/>
    <x v="2"/>
    <x v="0"/>
    <x v="0"/>
    <s v="Male"/>
    <x v="5"/>
    <n v="53.63"/>
    <x v="3"/>
    <n v="18.77"/>
    <n v="394.18"/>
    <n v="263.83"/>
    <n v="130.35"/>
    <n v="33.07"/>
    <x v="4"/>
    <n v="8.1"/>
    <x v="6"/>
  </r>
  <r>
    <s v="INV00150"/>
    <n v="46219"/>
    <s v="19:35"/>
    <x v="3"/>
    <x v="2"/>
    <x v="0"/>
    <s v="Male"/>
    <x v="6"/>
    <n v="214.51"/>
    <x v="3"/>
    <n v="75.08"/>
    <n v="1576.65"/>
    <n v="1107.31"/>
    <n v="469.34"/>
    <n v="29.77"/>
    <x v="3"/>
    <n v="6.8"/>
    <x v="6"/>
  </r>
  <r>
    <s v="INV00231"/>
    <n v="46219"/>
    <s v="15:06"/>
    <x v="4"/>
    <x v="3"/>
    <x v="0"/>
    <s v="Female"/>
    <x v="4"/>
    <n v="182.83"/>
    <x v="3"/>
    <n v="63.99"/>
    <n v="1343.8"/>
    <n v="1046.69"/>
    <n v="297.11"/>
    <n v="22.11"/>
    <x v="4"/>
    <n v="7.2"/>
    <x v="6"/>
  </r>
  <r>
    <s v="INV00271"/>
    <n v="46219"/>
    <s v="09:13"/>
    <x v="4"/>
    <x v="3"/>
    <x v="0"/>
    <s v="Male"/>
    <x v="1"/>
    <n v="174.58"/>
    <x v="2"/>
    <n v="34.92"/>
    <n v="733.24"/>
    <n v="528.80999999999995"/>
    <n v="204.43"/>
    <n v="27.88"/>
    <x v="0"/>
    <n v="5.8"/>
    <x v="6"/>
  </r>
  <r>
    <s v="INV00056"/>
    <n v="46221"/>
    <s v="11:07"/>
    <x v="4"/>
    <x v="3"/>
    <x v="1"/>
    <s v="Male"/>
    <x v="3"/>
    <n v="309.64"/>
    <x v="9"/>
    <n v="46.45"/>
    <n v="975.37"/>
    <n v="695.64"/>
    <n v="279.73"/>
    <n v="28.68"/>
    <x v="3"/>
    <n v="5.0999999999999996"/>
    <x v="6"/>
  </r>
  <r>
    <s v="INV00159"/>
    <n v="46221"/>
    <s v="12:17"/>
    <x v="0"/>
    <x v="0"/>
    <x v="0"/>
    <s v="Female"/>
    <x v="5"/>
    <n v="115.23"/>
    <x v="1"/>
    <n v="11.52"/>
    <n v="241.98"/>
    <n v="182.62"/>
    <n v="59.36"/>
    <n v="24.53"/>
    <x v="4"/>
    <n v="8.5"/>
    <x v="6"/>
  </r>
  <r>
    <s v="INV00067"/>
    <n v="46222"/>
    <s v="17:54"/>
    <x v="0"/>
    <x v="0"/>
    <x v="1"/>
    <s v="Male"/>
    <x v="3"/>
    <n v="278.33"/>
    <x v="4"/>
    <n v="13.92"/>
    <n v="292.25"/>
    <n v="217.97"/>
    <n v="74.28"/>
    <n v="25.42"/>
    <x v="4"/>
    <n v="5.9"/>
    <x v="6"/>
  </r>
  <r>
    <s v="INV00213"/>
    <n v="46222"/>
    <s v="11:55"/>
    <x v="1"/>
    <x v="1"/>
    <x v="1"/>
    <s v="Female"/>
    <x v="6"/>
    <n v="212.51"/>
    <x v="7"/>
    <n v="53.13"/>
    <n v="1115.68"/>
    <n v="882.32"/>
    <n v="233.36"/>
    <n v="20.92"/>
    <x v="3"/>
    <n v="4"/>
    <x v="6"/>
  </r>
  <r>
    <s v="INV00011"/>
    <n v="46223"/>
    <s v="11:47"/>
    <x v="0"/>
    <x v="0"/>
    <x v="1"/>
    <s v="Female"/>
    <x v="7"/>
    <n v="120.56"/>
    <x v="4"/>
    <n v="6.03"/>
    <n v="126.59"/>
    <n v="103.35"/>
    <n v="23.24"/>
    <n v="18.36"/>
    <x v="2"/>
    <n v="10"/>
    <x v="6"/>
  </r>
  <r>
    <s v="INV00078"/>
    <n v="46224"/>
    <s v="11:19"/>
    <x v="0"/>
    <x v="0"/>
    <x v="0"/>
    <s v="Male"/>
    <x v="0"/>
    <n v="71.64"/>
    <x v="2"/>
    <n v="14.33"/>
    <n v="300.89"/>
    <n v="245.1"/>
    <n v="55.79"/>
    <n v="18.54"/>
    <x v="0"/>
    <n v="6.9"/>
    <x v="6"/>
  </r>
  <r>
    <s v="INV00279"/>
    <n v="46224"/>
    <s v="11:46"/>
    <x v="1"/>
    <x v="1"/>
    <x v="1"/>
    <s v="Female"/>
    <x v="2"/>
    <n v="46"/>
    <x v="9"/>
    <n v="6.9"/>
    <n v="144.9"/>
    <n v="96.99"/>
    <n v="47.91"/>
    <n v="33.06"/>
    <x v="4"/>
    <n v="5.8"/>
    <x v="6"/>
  </r>
  <r>
    <s v="INV00047"/>
    <n v="46225"/>
    <s v="17:43"/>
    <x v="3"/>
    <x v="2"/>
    <x v="1"/>
    <s v="Female"/>
    <x v="1"/>
    <n v="119.66"/>
    <x v="9"/>
    <n v="17.95"/>
    <n v="376.93"/>
    <n v="299.27"/>
    <n v="77.66"/>
    <n v="20.6"/>
    <x v="1"/>
    <n v="6.2"/>
    <x v="6"/>
  </r>
  <r>
    <s v="INV00289"/>
    <n v="46225"/>
    <s v="17:22"/>
    <x v="3"/>
    <x v="2"/>
    <x v="1"/>
    <s v="Female"/>
    <x v="6"/>
    <n v="231.76"/>
    <x v="8"/>
    <n v="115.88"/>
    <n v="2433.48"/>
    <n v="1790.16"/>
    <n v="643.32000000000005"/>
    <n v="26.44"/>
    <x v="4"/>
    <n v="5.8"/>
    <x v="6"/>
  </r>
  <r>
    <s v="INV00285"/>
    <n v="46227"/>
    <s v="19:49"/>
    <x v="2"/>
    <x v="0"/>
    <x v="1"/>
    <s v="Male"/>
    <x v="4"/>
    <n v="260.45999999999998"/>
    <x v="9"/>
    <n v="39.07"/>
    <n v="820.45"/>
    <n v="618.92999999999995"/>
    <n v="201.52"/>
    <n v="24.56"/>
    <x v="1"/>
    <n v="8.6"/>
    <x v="6"/>
  </r>
  <r>
    <s v="INV00168"/>
    <n v="46229"/>
    <s v="16:55"/>
    <x v="0"/>
    <x v="0"/>
    <x v="1"/>
    <s v="Male"/>
    <x v="4"/>
    <n v="143.05000000000001"/>
    <x v="9"/>
    <n v="21.46"/>
    <n v="450.61"/>
    <n v="354.99"/>
    <n v="95.62"/>
    <n v="21.22"/>
    <x v="1"/>
    <n v="6.6"/>
    <x v="6"/>
  </r>
  <r>
    <s v="INV00368"/>
    <n v="46229"/>
    <s v="12:39"/>
    <x v="4"/>
    <x v="3"/>
    <x v="0"/>
    <s v="Female"/>
    <x v="4"/>
    <n v="181.93"/>
    <x v="6"/>
    <n v="72.77"/>
    <n v="1528.21"/>
    <n v="1265.27"/>
    <n v="262.94"/>
    <n v="17.21"/>
    <x v="1"/>
    <n v="9.1"/>
    <x v="6"/>
  </r>
  <r>
    <s v="INV00211"/>
    <n v="46230"/>
    <s v="15:24"/>
    <x v="2"/>
    <x v="0"/>
    <x v="1"/>
    <s v="Male"/>
    <x v="2"/>
    <n v="101.16"/>
    <x v="2"/>
    <n v="20.23"/>
    <n v="424.87"/>
    <n v="346"/>
    <n v="78.87"/>
    <n v="18.559999999999999"/>
    <x v="4"/>
    <n v="7.9"/>
    <x v="6"/>
  </r>
  <r>
    <s v="INV00264"/>
    <n v="46230"/>
    <s v="21:33"/>
    <x v="2"/>
    <x v="0"/>
    <x v="1"/>
    <s v="Female"/>
    <x v="2"/>
    <n v="74.08"/>
    <x v="4"/>
    <n v="3.7"/>
    <n v="77.78"/>
    <n v="64.3"/>
    <n v="13.48"/>
    <n v="17.329999999999998"/>
    <x v="4"/>
    <n v="6.3"/>
    <x v="6"/>
  </r>
  <r>
    <s v="INV00220"/>
    <n v="46231"/>
    <s v="13:00"/>
    <x v="4"/>
    <x v="3"/>
    <x v="1"/>
    <s v="Female"/>
    <x v="2"/>
    <n v="75.91"/>
    <x v="0"/>
    <n v="34.159999999999997"/>
    <n v="717.35"/>
    <n v="596.1"/>
    <n v="121.25"/>
    <n v="16.899999999999999"/>
    <x v="4"/>
    <n v="7.3"/>
    <x v="6"/>
  </r>
  <r>
    <s v="INV00498"/>
    <n v="46231"/>
    <s v="13:56"/>
    <x v="0"/>
    <x v="0"/>
    <x v="1"/>
    <s v="Male"/>
    <x v="1"/>
    <n v="111.3"/>
    <x v="6"/>
    <n v="44.52"/>
    <n v="934.92"/>
    <n v="774.68"/>
    <n v="160.24"/>
    <n v="17.14"/>
    <x v="3"/>
    <n v="8.5"/>
    <x v="6"/>
  </r>
  <r>
    <s v="INV00104"/>
    <n v="46232"/>
    <s v="16:51"/>
    <x v="2"/>
    <x v="0"/>
    <x v="0"/>
    <s v="Female"/>
    <x v="1"/>
    <n v="195.6"/>
    <x v="9"/>
    <n v="29.34"/>
    <n v="616.14"/>
    <n v="454.26"/>
    <n v="161.88"/>
    <n v="26.27"/>
    <x v="3"/>
    <n v="9.3000000000000007"/>
    <x v="6"/>
  </r>
  <r>
    <s v="INV00117"/>
    <n v="46232"/>
    <s v="21:00"/>
    <x v="4"/>
    <x v="3"/>
    <x v="1"/>
    <s v="Male"/>
    <x v="1"/>
    <n v="108.52"/>
    <x v="7"/>
    <n v="27.13"/>
    <n v="569.73"/>
    <n v="429.85"/>
    <n v="139.88"/>
    <n v="24.55"/>
    <x v="4"/>
    <n v="7.3"/>
    <x v="6"/>
  </r>
  <r>
    <s v="INV00377"/>
    <n v="46232"/>
    <s v="20:39"/>
    <x v="4"/>
    <x v="3"/>
    <x v="1"/>
    <s v="Female"/>
    <x v="5"/>
    <n v="57.71"/>
    <x v="7"/>
    <n v="14.43"/>
    <n v="302.98"/>
    <n v="230.65"/>
    <n v="72.33"/>
    <n v="23.87"/>
    <x v="1"/>
    <n v="6.1"/>
    <x v="6"/>
  </r>
  <r>
    <s v="INV00016"/>
    <n v="46233"/>
    <s v="21:35"/>
    <x v="0"/>
    <x v="0"/>
    <x v="0"/>
    <s v="Female"/>
    <x v="1"/>
    <n v="167.48"/>
    <x v="0"/>
    <n v="75.37"/>
    <n v="1582.69"/>
    <n v="1094.3"/>
    <n v="488.39"/>
    <n v="30.86"/>
    <x v="4"/>
    <n v="10"/>
    <x v="6"/>
  </r>
  <r>
    <s v="INV00451"/>
    <n v="46233"/>
    <s v="10:37"/>
    <x v="1"/>
    <x v="1"/>
    <x v="1"/>
    <s v="Female"/>
    <x v="7"/>
    <n v="101.37"/>
    <x v="1"/>
    <n v="10.14"/>
    <n v="212.88"/>
    <n v="171.76"/>
    <n v="41.12"/>
    <n v="19.32"/>
    <x v="0"/>
    <n v="7.6"/>
    <x v="6"/>
  </r>
  <r>
    <s v="INV00254"/>
    <n v="46234"/>
    <s v="15:26"/>
    <x v="3"/>
    <x v="2"/>
    <x v="1"/>
    <s v="Male"/>
    <x v="3"/>
    <n v="452.75"/>
    <x v="6"/>
    <n v="181.1"/>
    <n v="3803.1"/>
    <n v="3015.39"/>
    <n v="787.71"/>
    <n v="20.71"/>
    <x v="4"/>
    <n v="7.5"/>
    <x v="6"/>
  </r>
  <r>
    <s v="INV00305"/>
    <n v="46236"/>
    <s v="09:52"/>
    <x v="1"/>
    <x v="1"/>
    <x v="0"/>
    <s v="Female"/>
    <x v="6"/>
    <n v="130.94999999999999"/>
    <x v="5"/>
    <n v="39.28"/>
    <n v="824.98"/>
    <n v="619.88"/>
    <n v="205.1"/>
    <n v="24.86"/>
    <x v="3"/>
    <n v="6"/>
    <x v="7"/>
  </r>
  <r>
    <s v="INV00346"/>
    <n v="46236"/>
    <s v="17:09"/>
    <x v="2"/>
    <x v="0"/>
    <x v="1"/>
    <s v="Female"/>
    <x v="6"/>
    <n v="235"/>
    <x v="0"/>
    <n v="105.75"/>
    <n v="2220.75"/>
    <n v="1516.63"/>
    <n v="704.12"/>
    <n v="31.71"/>
    <x v="3"/>
    <n v="7.6"/>
    <x v="7"/>
  </r>
  <r>
    <s v="INV00149"/>
    <n v="46237"/>
    <s v="10:08"/>
    <x v="0"/>
    <x v="0"/>
    <x v="0"/>
    <s v="Male"/>
    <x v="2"/>
    <n v="81.67"/>
    <x v="3"/>
    <n v="28.58"/>
    <n v="600.27"/>
    <n v="429.09"/>
    <n v="171.18"/>
    <n v="28.52"/>
    <x v="4"/>
    <n v="7.7"/>
    <x v="7"/>
  </r>
  <r>
    <s v="INV00122"/>
    <n v="46238"/>
    <s v="14:06"/>
    <x v="4"/>
    <x v="3"/>
    <x v="0"/>
    <s v="Male"/>
    <x v="4"/>
    <n v="278.56"/>
    <x v="4"/>
    <n v="13.93"/>
    <n v="292.49"/>
    <n v="242.7"/>
    <n v="49.79"/>
    <n v="17.02"/>
    <x v="4"/>
    <n v="6.6"/>
    <x v="7"/>
  </r>
  <r>
    <s v="INV00299"/>
    <n v="46238"/>
    <s v="09:23"/>
    <x v="2"/>
    <x v="0"/>
    <x v="0"/>
    <s v="Female"/>
    <x v="5"/>
    <n v="78.05"/>
    <x v="4"/>
    <n v="3.9"/>
    <n v="81.95"/>
    <n v="59.96"/>
    <n v="21.99"/>
    <n v="26.83"/>
    <x v="2"/>
    <n v="8.1"/>
    <x v="7"/>
  </r>
  <r>
    <s v="INV00216"/>
    <n v="46239"/>
    <s v="10:34"/>
    <x v="0"/>
    <x v="0"/>
    <x v="1"/>
    <s v="Female"/>
    <x v="0"/>
    <n v="89.22"/>
    <x v="1"/>
    <n v="8.92"/>
    <n v="187.36"/>
    <n v="143.69"/>
    <n v="43.67"/>
    <n v="23.31"/>
    <x v="1"/>
    <n v="5.6"/>
    <x v="7"/>
  </r>
  <r>
    <s v="INV00005"/>
    <n v="46240"/>
    <s v="10:46"/>
    <x v="0"/>
    <x v="0"/>
    <x v="0"/>
    <s v="Male"/>
    <x v="5"/>
    <n v="108.25"/>
    <x v="6"/>
    <n v="43.3"/>
    <n v="909.3"/>
    <n v="741.07"/>
    <n v="168.23"/>
    <n v="18.5"/>
    <x v="0"/>
    <n v="7.7"/>
    <x v="7"/>
  </r>
  <r>
    <s v="INV00039"/>
    <n v="46240"/>
    <s v="18:34"/>
    <x v="1"/>
    <x v="1"/>
    <x v="1"/>
    <s v="Male"/>
    <x v="6"/>
    <n v="191.59"/>
    <x v="2"/>
    <n v="38.32"/>
    <n v="804.68"/>
    <n v="650.46"/>
    <n v="154.22"/>
    <n v="19.170000000000002"/>
    <x v="4"/>
    <n v="6.6"/>
    <x v="7"/>
  </r>
  <r>
    <s v="INV00139"/>
    <n v="46242"/>
    <s v="13:38"/>
    <x v="3"/>
    <x v="2"/>
    <x v="1"/>
    <s v="Male"/>
    <x v="4"/>
    <n v="255.04"/>
    <x v="10"/>
    <n v="51.01"/>
    <n v="1071.17"/>
    <n v="766.54"/>
    <n v="304.63"/>
    <n v="28.44"/>
    <x v="1"/>
    <n v="5.7"/>
    <x v="7"/>
  </r>
  <r>
    <s v="INV00255"/>
    <n v="46242"/>
    <s v="17:04"/>
    <x v="0"/>
    <x v="0"/>
    <x v="0"/>
    <s v="Female"/>
    <x v="1"/>
    <n v="117.51"/>
    <x v="1"/>
    <n v="11.75"/>
    <n v="246.77"/>
    <n v="182.98"/>
    <n v="63.79"/>
    <n v="25.85"/>
    <x v="4"/>
    <n v="6.3"/>
    <x v="7"/>
  </r>
  <r>
    <s v="INV00312"/>
    <n v="46242"/>
    <s v="21:16"/>
    <x v="0"/>
    <x v="0"/>
    <x v="0"/>
    <s v="Male"/>
    <x v="2"/>
    <n v="85.1"/>
    <x v="2"/>
    <n v="17.02"/>
    <n v="357.42"/>
    <n v="260.49"/>
    <n v="96.93"/>
    <n v="27.12"/>
    <x v="2"/>
    <n v="7.7"/>
    <x v="7"/>
  </r>
  <r>
    <s v="INV00448"/>
    <n v="46243"/>
    <s v="18:54"/>
    <x v="1"/>
    <x v="1"/>
    <x v="0"/>
    <s v="Male"/>
    <x v="0"/>
    <n v="98.94"/>
    <x v="5"/>
    <n v="29.68"/>
    <n v="623.32000000000005"/>
    <n v="470.46"/>
    <n v="152.86000000000001"/>
    <n v="24.52"/>
    <x v="3"/>
    <n v="6.7"/>
    <x v="7"/>
  </r>
  <r>
    <s v="INV00009"/>
    <n v="46244"/>
    <s v="18:30"/>
    <x v="2"/>
    <x v="0"/>
    <x v="1"/>
    <s v="Female"/>
    <x v="0"/>
    <n v="99.39"/>
    <x v="1"/>
    <n v="9.94"/>
    <n v="208.72"/>
    <n v="167.32"/>
    <n v="41.4"/>
    <n v="19.84"/>
    <x v="4"/>
    <n v="9.4"/>
    <x v="7"/>
  </r>
  <r>
    <s v="INV00051"/>
    <n v="46244"/>
    <s v="14:35"/>
    <x v="4"/>
    <x v="3"/>
    <x v="0"/>
    <s v="Female"/>
    <x v="7"/>
    <n v="122.75"/>
    <x v="5"/>
    <n v="36.83"/>
    <n v="773.33"/>
    <n v="544.19000000000005"/>
    <n v="229.14"/>
    <n v="29.63"/>
    <x v="0"/>
    <n v="7.8"/>
    <x v="7"/>
  </r>
  <r>
    <s v="INV00488"/>
    <n v="46245"/>
    <s v="12:32"/>
    <x v="3"/>
    <x v="2"/>
    <x v="0"/>
    <s v="Male"/>
    <x v="6"/>
    <n v="200.83"/>
    <x v="5"/>
    <n v="60.25"/>
    <n v="1265.23"/>
    <n v="973.68"/>
    <n v="291.55"/>
    <n v="23.04"/>
    <x v="4"/>
    <n v="4.8"/>
    <x v="7"/>
  </r>
  <r>
    <s v="INV00138"/>
    <n v="46246"/>
    <s v="10:03"/>
    <x v="1"/>
    <x v="1"/>
    <x v="1"/>
    <s v="Female"/>
    <x v="4"/>
    <n v="237.48"/>
    <x v="0"/>
    <n v="106.87"/>
    <n v="2244.19"/>
    <n v="1545.13"/>
    <n v="699.06"/>
    <n v="31.15"/>
    <x v="4"/>
    <n v="7.1"/>
    <x v="7"/>
  </r>
  <r>
    <s v="INV00153"/>
    <n v="46246"/>
    <s v="15:28"/>
    <x v="0"/>
    <x v="0"/>
    <x v="0"/>
    <s v="Female"/>
    <x v="7"/>
    <n v="92.88"/>
    <x v="7"/>
    <n v="23.22"/>
    <n v="487.62"/>
    <n v="340.27"/>
    <n v="147.35"/>
    <n v="30.22"/>
    <x v="3"/>
    <n v="8.5"/>
    <x v="7"/>
  </r>
  <r>
    <s v="INV00253"/>
    <n v="46246"/>
    <s v="12:44"/>
    <x v="4"/>
    <x v="3"/>
    <x v="1"/>
    <s v="Male"/>
    <x v="7"/>
    <n v="105.34"/>
    <x v="0"/>
    <n v="47.4"/>
    <n v="995.46"/>
    <n v="751.39"/>
    <n v="244.07"/>
    <n v="24.52"/>
    <x v="0"/>
    <n v="7.6"/>
    <x v="7"/>
  </r>
  <r>
    <s v="INV00256"/>
    <n v="46247"/>
    <s v="21:01"/>
    <x v="2"/>
    <x v="0"/>
    <x v="1"/>
    <s v="Female"/>
    <x v="2"/>
    <n v="51.62"/>
    <x v="6"/>
    <n v="20.65"/>
    <n v="433.61"/>
    <n v="338.64"/>
    <n v="94.97"/>
    <n v="21.9"/>
    <x v="3"/>
    <n v="6.5"/>
    <x v="7"/>
  </r>
  <r>
    <s v="INV00369"/>
    <n v="46247"/>
    <s v="10:41"/>
    <x v="0"/>
    <x v="0"/>
    <x v="1"/>
    <s v="Male"/>
    <x v="2"/>
    <n v="92.69"/>
    <x v="8"/>
    <n v="46.34"/>
    <n v="973.24"/>
    <n v="778.28"/>
    <n v="194.96"/>
    <n v="20.03"/>
    <x v="4"/>
    <n v="8.5"/>
    <x v="7"/>
  </r>
  <r>
    <s v="INV00426"/>
    <n v="46247"/>
    <s v="16:50"/>
    <x v="2"/>
    <x v="0"/>
    <x v="0"/>
    <s v="Female"/>
    <x v="1"/>
    <n v="127.59"/>
    <x v="5"/>
    <n v="38.28"/>
    <n v="803.82"/>
    <n v="583.70000000000005"/>
    <n v="220.12"/>
    <n v="27.38"/>
    <x v="3"/>
    <n v="8.6"/>
    <x v="7"/>
  </r>
  <r>
    <s v="INV00459"/>
    <n v="46247"/>
    <s v="10:55"/>
    <x v="0"/>
    <x v="0"/>
    <x v="1"/>
    <s v="Male"/>
    <x v="4"/>
    <n v="139.44999999999999"/>
    <x v="0"/>
    <n v="62.75"/>
    <n v="1317.8"/>
    <n v="1046.07"/>
    <n v="271.73"/>
    <n v="20.62"/>
    <x v="4"/>
    <n v="6.4"/>
    <x v="7"/>
  </r>
  <r>
    <s v="INV00201"/>
    <n v="46248"/>
    <s v="15:59"/>
    <x v="1"/>
    <x v="1"/>
    <x v="0"/>
    <s v="Male"/>
    <x v="7"/>
    <n v="82.29"/>
    <x v="3"/>
    <n v="28.8"/>
    <n v="604.83000000000004"/>
    <n v="491.62"/>
    <n v="113.21"/>
    <n v="18.72"/>
    <x v="4"/>
    <n v="5.7"/>
    <x v="7"/>
  </r>
  <r>
    <s v="INV00259"/>
    <n v="46248"/>
    <s v="15:37"/>
    <x v="2"/>
    <x v="0"/>
    <x v="1"/>
    <s v="Male"/>
    <x v="0"/>
    <n v="146.03"/>
    <x v="4"/>
    <n v="7.3"/>
    <n v="153.33000000000001"/>
    <n v="123.58"/>
    <n v="29.75"/>
    <n v="19.399999999999999"/>
    <x v="4"/>
    <n v="7.1"/>
    <x v="7"/>
  </r>
  <r>
    <s v="INV00444"/>
    <n v="46248"/>
    <s v="09:25"/>
    <x v="3"/>
    <x v="2"/>
    <x v="1"/>
    <s v="Female"/>
    <x v="2"/>
    <n v="71.489999999999995"/>
    <x v="2"/>
    <n v="14.3"/>
    <n v="300.26"/>
    <n v="241.34"/>
    <n v="58.92"/>
    <n v="19.62"/>
    <x v="1"/>
    <n v="10"/>
    <x v="7"/>
  </r>
  <r>
    <s v="INV00447"/>
    <n v="46248"/>
    <s v="14:43"/>
    <x v="4"/>
    <x v="3"/>
    <x v="0"/>
    <s v="Male"/>
    <x v="1"/>
    <n v="172.84"/>
    <x v="5"/>
    <n v="51.85"/>
    <n v="1088.8900000000001"/>
    <n v="803.61"/>
    <n v="285.27999999999997"/>
    <n v="26.2"/>
    <x v="2"/>
    <n v="8.8000000000000007"/>
    <x v="7"/>
  </r>
  <r>
    <s v="INV00328"/>
    <n v="46249"/>
    <s v="18:25"/>
    <x v="2"/>
    <x v="0"/>
    <x v="0"/>
    <s v="Male"/>
    <x v="3"/>
    <n v="362.49"/>
    <x v="9"/>
    <n v="54.37"/>
    <n v="1141.8399999999999"/>
    <n v="849.88"/>
    <n v="291.95999999999998"/>
    <n v="25.57"/>
    <x v="2"/>
    <n v="6.4"/>
    <x v="7"/>
  </r>
  <r>
    <s v="INV00438"/>
    <n v="46250"/>
    <s v="13:21"/>
    <x v="4"/>
    <x v="3"/>
    <x v="0"/>
    <s v="Male"/>
    <x v="0"/>
    <n v="107.9"/>
    <x v="4"/>
    <n v="5.4"/>
    <n v="113.3"/>
    <n v="84.68"/>
    <n v="28.62"/>
    <n v="25.26"/>
    <x v="3"/>
    <n v="8.9"/>
    <x v="7"/>
  </r>
  <r>
    <s v="INV00079"/>
    <n v="46251"/>
    <s v="14:58"/>
    <x v="3"/>
    <x v="2"/>
    <x v="1"/>
    <s v="Male"/>
    <x v="6"/>
    <n v="214.44"/>
    <x v="7"/>
    <n v="53.61"/>
    <n v="1125.81"/>
    <n v="853.19"/>
    <n v="272.62"/>
    <n v="24.22"/>
    <x v="3"/>
    <n v="6.8"/>
    <x v="7"/>
  </r>
  <r>
    <s v="INV00206"/>
    <n v="46251"/>
    <s v="17:41"/>
    <x v="0"/>
    <x v="0"/>
    <x v="0"/>
    <s v="Female"/>
    <x v="0"/>
    <n v="83.75"/>
    <x v="9"/>
    <n v="12.56"/>
    <n v="263.81"/>
    <n v="208.11"/>
    <n v="55.7"/>
    <n v="21.11"/>
    <x v="0"/>
    <n v="7.5"/>
    <x v="7"/>
  </r>
  <r>
    <s v="INV00096"/>
    <n v="46253"/>
    <s v="13:40"/>
    <x v="2"/>
    <x v="0"/>
    <x v="1"/>
    <s v="Female"/>
    <x v="6"/>
    <n v="219.2"/>
    <x v="6"/>
    <n v="87.68"/>
    <n v="1841.28"/>
    <n v="1333.47"/>
    <n v="507.81"/>
    <n v="27.58"/>
    <x v="4"/>
    <n v="7.9"/>
    <x v="7"/>
  </r>
  <r>
    <s v="INV00267"/>
    <n v="46253"/>
    <s v="15:02"/>
    <x v="1"/>
    <x v="1"/>
    <x v="1"/>
    <s v="Female"/>
    <x v="2"/>
    <n v="46.57"/>
    <x v="0"/>
    <n v="20.96"/>
    <n v="440.09"/>
    <n v="293.82"/>
    <n v="146.27000000000001"/>
    <n v="33.24"/>
    <x v="4"/>
    <n v="10"/>
    <x v="7"/>
  </r>
  <r>
    <s v="INV00292"/>
    <n v="46253"/>
    <s v="19:09"/>
    <x v="0"/>
    <x v="0"/>
    <x v="1"/>
    <s v="Female"/>
    <x v="7"/>
    <n v="119.97"/>
    <x v="3"/>
    <n v="41.99"/>
    <n v="881.78"/>
    <n v="684.34"/>
    <n v="197.44"/>
    <n v="22.39"/>
    <x v="1"/>
    <n v="6.4"/>
    <x v="7"/>
  </r>
  <r>
    <s v="INV00252"/>
    <n v="46254"/>
    <s v="18:32"/>
    <x v="3"/>
    <x v="2"/>
    <x v="1"/>
    <s v="Male"/>
    <x v="0"/>
    <n v="138.78"/>
    <x v="4"/>
    <n v="6.94"/>
    <n v="145.72"/>
    <n v="102.17"/>
    <n v="43.55"/>
    <n v="29.89"/>
    <x v="4"/>
    <n v="6.4"/>
    <x v="7"/>
  </r>
  <r>
    <s v="INV00349"/>
    <n v="46254"/>
    <s v="21:38"/>
    <x v="3"/>
    <x v="2"/>
    <x v="0"/>
    <s v="Female"/>
    <x v="6"/>
    <n v="162.32"/>
    <x v="7"/>
    <n v="40.58"/>
    <n v="852.18"/>
    <n v="577.84"/>
    <n v="274.33999999999997"/>
    <n v="32.19"/>
    <x v="3"/>
    <n v="6.3"/>
    <x v="7"/>
  </r>
  <r>
    <s v="INV00042"/>
    <n v="46255"/>
    <s v="13:18"/>
    <x v="2"/>
    <x v="0"/>
    <x v="0"/>
    <s v="Female"/>
    <x v="7"/>
    <n v="83.08"/>
    <x v="8"/>
    <n v="41.54"/>
    <n v="872.34"/>
    <n v="582.75"/>
    <n v="289.58999999999997"/>
    <n v="33.200000000000003"/>
    <x v="1"/>
    <n v="5.5"/>
    <x v="7"/>
  </r>
  <r>
    <s v="INV00300"/>
    <n v="46255"/>
    <s v="13:56"/>
    <x v="0"/>
    <x v="0"/>
    <x v="0"/>
    <s v="Male"/>
    <x v="0"/>
    <n v="77.31"/>
    <x v="6"/>
    <n v="30.92"/>
    <n v="649.4"/>
    <n v="474.29"/>
    <n v="175.11"/>
    <n v="26.96"/>
    <x v="4"/>
    <n v="7.1"/>
    <x v="7"/>
  </r>
  <r>
    <s v="INV00352"/>
    <n v="46255"/>
    <s v="15:40"/>
    <x v="4"/>
    <x v="3"/>
    <x v="0"/>
    <s v="Female"/>
    <x v="2"/>
    <n v="48.54"/>
    <x v="2"/>
    <n v="9.7100000000000009"/>
    <n v="203.87"/>
    <n v="157.44999999999999"/>
    <n v="46.42"/>
    <n v="22.77"/>
    <x v="2"/>
    <n v="7.1"/>
    <x v="7"/>
  </r>
  <r>
    <s v="INV00480"/>
    <n v="46256"/>
    <s v="10:45"/>
    <x v="2"/>
    <x v="0"/>
    <x v="1"/>
    <s v="Female"/>
    <x v="7"/>
    <n v="98.54"/>
    <x v="1"/>
    <n v="9.85"/>
    <n v="206.93"/>
    <n v="173.02"/>
    <n v="33.909999999999997"/>
    <n v="16.39"/>
    <x v="4"/>
    <n v="9.3000000000000007"/>
    <x v="7"/>
  </r>
  <r>
    <s v="INV00090"/>
    <n v="46257"/>
    <s v="14:06"/>
    <x v="2"/>
    <x v="0"/>
    <x v="1"/>
    <s v="Female"/>
    <x v="4"/>
    <n v="206.88"/>
    <x v="0"/>
    <n v="93.1"/>
    <n v="1955.02"/>
    <n v="1343.03"/>
    <n v="611.99"/>
    <n v="31.3"/>
    <x v="4"/>
    <n v="7.2"/>
    <x v="7"/>
  </r>
  <r>
    <s v="INV00210"/>
    <n v="46257"/>
    <s v="14:13"/>
    <x v="0"/>
    <x v="0"/>
    <x v="0"/>
    <s v="Male"/>
    <x v="5"/>
    <n v="77.709999999999994"/>
    <x v="9"/>
    <n v="11.66"/>
    <n v="244.79"/>
    <n v="188.36"/>
    <n v="56.43"/>
    <n v="23.05"/>
    <x v="3"/>
    <n v="7.4"/>
    <x v="7"/>
  </r>
  <r>
    <s v="INV00365"/>
    <n v="46257"/>
    <s v="16:33"/>
    <x v="4"/>
    <x v="3"/>
    <x v="0"/>
    <s v="Female"/>
    <x v="3"/>
    <n v="288.97000000000003"/>
    <x v="8"/>
    <n v="144.49"/>
    <n v="3034.19"/>
    <n v="2382.3200000000002"/>
    <n v="651.87"/>
    <n v="21.48"/>
    <x v="1"/>
    <n v="9.1"/>
    <x v="7"/>
  </r>
  <r>
    <s v="INV00443"/>
    <n v="46257"/>
    <s v="15:08"/>
    <x v="3"/>
    <x v="2"/>
    <x v="0"/>
    <s v="Male"/>
    <x v="5"/>
    <n v="52.64"/>
    <x v="8"/>
    <n v="26.32"/>
    <n v="552.72"/>
    <n v="379.57"/>
    <n v="173.15"/>
    <n v="31.33"/>
    <x v="1"/>
    <n v="9.1"/>
    <x v="7"/>
  </r>
  <r>
    <s v="INV00477"/>
    <n v="46257"/>
    <s v="10:19"/>
    <x v="0"/>
    <x v="0"/>
    <x v="0"/>
    <s v="Male"/>
    <x v="7"/>
    <n v="66.739999999999995"/>
    <x v="7"/>
    <n v="16.68"/>
    <n v="350.38"/>
    <n v="277.41000000000003"/>
    <n v="72.97"/>
    <n v="20.83"/>
    <x v="4"/>
    <n v="5.3"/>
    <x v="7"/>
  </r>
  <r>
    <s v="INV00105"/>
    <n v="46258"/>
    <s v="15:17"/>
    <x v="4"/>
    <x v="3"/>
    <x v="0"/>
    <s v="Female"/>
    <x v="1"/>
    <n v="178.23"/>
    <x v="2"/>
    <n v="35.65"/>
    <n v="748.57"/>
    <n v="595.75"/>
    <n v="152.82"/>
    <n v="20.41"/>
    <x v="0"/>
    <n v="7.1"/>
    <x v="7"/>
  </r>
  <r>
    <s v="INV00344"/>
    <n v="46258"/>
    <s v="16:53"/>
    <x v="2"/>
    <x v="0"/>
    <x v="0"/>
    <s v="Female"/>
    <x v="0"/>
    <n v="117.27"/>
    <x v="4"/>
    <n v="5.86"/>
    <n v="123.13"/>
    <n v="83.75"/>
    <n v="39.380000000000003"/>
    <n v="31.98"/>
    <x v="2"/>
    <n v="9.1999999999999993"/>
    <x v="7"/>
  </r>
  <r>
    <s v="INV00462"/>
    <n v="46258"/>
    <s v="20:47"/>
    <x v="1"/>
    <x v="1"/>
    <x v="0"/>
    <s v="Male"/>
    <x v="7"/>
    <n v="101.12"/>
    <x v="6"/>
    <n v="40.450000000000003"/>
    <n v="849.41"/>
    <n v="690.73"/>
    <n v="158.68"/>
    <n v="18.68"/>
    <x v="3"/>
    <n v="8.1"/>
    <x v="7"/>
  </r>
  <r>
    <s v="INV00063"/>
    <n v="46259"/>
    <s v="12:24"/>
    <x v="4"/>
    <x v="3"/>
    <x v="0"/>
    <s v="Female"/>
    <x v="1"/>
    <n v="151.5"/>
    <x v="6"/>
    <n v="60.6"/>
    <n v="1272.5999999999999"/>
    <n v="962.19"/>
    <n v="310.41000000000003"/>
    <n v="24.39"/>
    <x v="4"/>
    <n v="7.1"/>
    <x v="7"/>
  </r>
  <r>
    <s v="INV00434"/>
    <n v="46259"/>
    <s v="16:35"/>
    <x v="0"/>
    <x v="0"/>
    <x v="0"/>
    <s v="Male"/>
    <x v="7"/>
    <n v="90.56"/>
    <x v="4"/>
    <n v="4.53"/>
    <n v="95.09"/>
    <n v="75.86"/>
    <n v="19.23"/>
    <n v="20.22"/>
    <x v="4"/>
    <n v="9.3000000000000007"/>
    <x v="7"/>
  </r>
  <r>
    <s v="INV00013"/>
    <n v="46057"/>
    <s v="13:10"/>
    <x v="4"/>
    <x v="3"/>
    <x v="0"/>
    <s v="Male"/>
    <x v="0"/>
    <n v="150.04"/>
    <x v="7"/>
    <n v="37.51"/>
    <n v="787.71"/>
    <n v="637.71"/>
    <n v="150"/>
    <n v="19.04"/>
    <x v="4"/>
    <n v="6.1"/>
    <x v="1"/>
  </r>
  <r>
    <m/>
    <m/>
    <m/>
    <x v="5"/>
    <x v="4"/>
    <x v="2"/>
    <m/>
    <x v="8"/>
    <m/>
    <x v="10"/>
    <m/>
    <m/>
    <m/>
    <m/>
    <m/>
    <x v="5"/>
    <m/>
    <x v="8"/>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A0EFAD9-9844-4CE9-ADD2-75566BFFA89F}" name="PivotTable8"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CJ10:CK56" firstHeaderRow="1" firstDataRow="1" firstDataCol="1"/>
  <pivotFields count="18">
    <pivotField showAll="0"/>
    <pivotField showAll="0"/>
    <pivotField showAll="0"/>
    <pivotField axis="axisRow" showAll="0">
      <items count="7">
        <item x="0"/>
        <item x="2"/>
        <item x="3"/>
        <item x="4"/>
        <item x="1"/>
        <item h="1" x="5"/>
        <item t="default"/>
      </items>
    </pivotField>
    <pivotField showAll="0">
      <items count="6">
        <item x="0"/>
        <item x="2"/>
        <item x="3"/>
        <item x="1"/>
        <item x="4"/>
        <item t="default"/>
      </items>
    </pivotField>
    <pivotField showAll="0"/>
    <pivotField showAll="0"/>
    <pivotField axis="axisRow" showAll="0">
      <items count="10">
        <item x="5"/>
        <item x="7"/>
        <item x="1"/>
        <item x="2"/>
        <item x="4"/>
        <item x="3"/>
        <item x="6"/>
        <item x="0"/>
        <item x="8"/>
        <item t="default"/>
      </items>
    </pivotField>
    <pivotField showAll="0"/>
    <pivotField showAll="0"/>
    <pivotField showAll="0"/>
    <pivotField dataField="1" showAll="0"/>
    <pivotField showAll="0"/>
    <pivotField showAll="0"/>
    <pivotField showAll="0"/>
    <pivotField showAll="0"/>
    <pivotField showAll="0"/>
    <pivotField showAll="0"/>
  </pivotFields>
  <rowFields count="2">
    <field x="3"/>
    <field x="7"/>
  </rowFields>
  <rowItems count="46">
    <i>
      <x/>
    </i>
    <i r="1">
      <x/>
    </i>
    <i r="1">
      <x v="1"/>
    </i>
    <i r="1">
      <x v="2"/>
    </i>
    <i r="1">
      <x v="3"/>
    </i>
    <i r="1">
      <x v="4"/>
    </i>
    <i r="1">
      <x v="5"/>
    </i>
    <i r="1">
      <x v="6"/>
    </i>
    <i r="1">
      <x v="7"/>
    </i>
    <i>
      <x v="1"/>
    </i>
    <i r="1">
      <x/>
    </i>
    <i r="1">
      <x v="1"/>
    </i>
    <i r="1">
      <x v="2"/>
    </i>
    <i r="1">
      <x v="3"/>
    </i>
    <i r="1">
      <x v="4"/>
    </i>
    <i r="1">
      <x v="5"/>
    </i>
    <i r="1">
      <x v="6"/>
    </i>
    <i r="1">
      <x v="7"/>
    </i>
    <i>
      <x v="2"/>
    </i>
    <i r="1">
      <x/>
    </i>
    <i r="1">
      <x v="1"/>
    </i>
    <i r="1">
      <x v="2"/>
    </i>
    <i r="1">
      <x v="3"/>
    </i>
    <i r="1">
      <x v="4"/>
    </i>
    <i r="1">
      <x v="5"/>
    </i>
    <i r="1">
      <x v="6"/>
    </i>
    <i r="1">
      <x v="7"/>
    </i>
    <i>
      <x v="3"/>
    </i>
    <i r="1">
      <x/>
    </i>
    <i r="1">
      <x v="1"/>
    </i>
    <i r="1">
      <x v="2"/>
    </i>
    <i r="1">
      <x v="3"/>
    </i>
    <i r="1">
      <x v="4"/>
    </i>
    <i r="1">
      <x v="5"/>
    </i>
    <i r="1">
      <x v="6"/>
    </i>
    <i r="1">
      <x v="7"/>
    </i>
    <i>
      <x v="4"/>
    </i>
    <i r="1">
      <x/>
    </i>
    <i r="1">
      <x v="1"/>
    </i>
    <i r="1">
      <x v="2"/>
    </i>
    <i r="1">
      <x v="3"/>
    </i>
    <i r="1">
      <x v="4"/>
    </i>
    <i r="1">
      <x v="5"/>
    </i>
    <i r="1">
      <x v="6"/>
    </i>
    <i r="1">
      <x v="7"/>
    </i>
    <i t="grand">
      <x/>
    </i>
  </rowItems>
  <colItems count="1">
    <i/>
  </colItems>
  <dataFields count="1">
    <dataField name="Sum of Total_Sales" fld="11"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89B42F3-A387-4118-93BD-930D31A0098F}"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L11:M20" firstHeaderRow="1" firstDataRow="1" firstDataCol="1"/>
  <pivotFields count="17">
    <pivotField showAll="0"/>
    <pivotField showAll="0"/>
    <pivotField showAll="0"/>
    <pivotField showAll="0"/>
    <pivotField showAll="0"/>
    <pivotField showAll="0"/>
    <pivotField showAll="0"/>
    <pivotField axis="axisRow" showAll="0">
      <items count="9">
        <item x="5"/>
        <item x="7"/>
        <item x="1"/>
        <item x="2"/>
        <item x="4"/>
        <item x="3"/>
        <item x="6"/>
        <item x="0"/>
        <item t="default"/>
      </items>
    </pivotField>
    <pivotField showAll="0"/>
    <pivotField showAll="0"/>
    <pivotField showAll="0"/>
    <pivotField dataField="1" showAll="0"/>
    <pivotField showAll="0"/>
    <pivotField showAll="0"/>
    <pivotField showAll="0"/>
    <pivotField showAll="0"/>
    <pivotField showAll="0"/>
  </pivotFields>
  <rowFields count="1">
    <field x="7"/>
  </rowFields>
  <rowItems count="9">
    <i>
      <x/>
    </i>
    <i>
      <x v="1"/>
    </i>
    <i>
      <x v="2"/>
    </i>
    <i>
      <x v="3"/>
    </i>
    <i>
      <x v="4"/>
    </i>
    <i>
      <x v="5"/>
    </i>
    <i>
      <x v="6"/>
    </i>
    <i>
      <x v="7"/>
    </i>
    <i t="grand">
      <x/>
    </i>
  </rowItems>
  <colItems count="1">
    <i/>
  </colItems>
  <dataFields count="1">
    <dataField name="Sum of Total_Sales" fld="11" baseField="0" baseItem="0"/>
  </dataFields>
  <chartFormats count="3">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3" format="3">
      <pivotArea type="data" outline="0" fieldPosition="0">
        <references count="2">
          <reference field="4294967294" count="1" selected="0">
            <x v="0"/>
          </reference>
          <reference field="7" count="1" selected="0">
            <x v="7"/>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B90E559-185E-4C39-95E6-25DC25C93B07}"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3:B9" firstHeaderRow="1" firstDataRow="1" firstDataCol="1"/>
  <pivotFields count="17">
    <pivotField showAll="0"/>
    <pivotField showAll="0"/>
    <pivotField showAll="0"/>
    <pivotField axis="axisRow" showAll="0">
      <items count="6">
        <item x="0"/>
        <item x="2"/>
        <item x="3"/>
        <item x="4"/>
        <item x="1"/>
        <item t="default"/>
      </items>
    </pivotField>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s>
  <rowFields count="1">
    <field x="3"/>
  </rowFields>
  <rowItems count="6">
    <i>
      <x/>
    </i>
    <i>
      <x v="1"/>
    </i>
    <i>
      <x v="2"/>
    </i>
    <i>
      <x v="3"/>
    </i>
    <i>
      <x v="4"/>
    </i>
    <i t="grand">
      <x/>
    </i>
  </rowItems>
  <colItems count="1">
    <i/>
  </colItems>
  <dataFields count="1">
    <dataField name="Sum of Total_Sales" fld="11"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29E1C42-4179-42EA-BC4C-9EC79974D875}" name="PivotTable7"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BO12:BP19" firstHeaderRow="1" firstDataRow="1" firstDataCol="1"/>
  <pivotFields count="18">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axis="axisRow" showAll="0">
      <items count="7">
        <item x="3"/>
        <item x="2"/>
        <item x="1"/>
        <item x="4"/>
        <item x="0"/>
        <item x="5"/>
        <item t="default"/>
      </items>
    </pivotField>
    <pivotField showAll="0"/>
    <pivotField showAll="0"/>
  </pivotFields>
  <rowFields count="1">
    <field x="15"/>
  </rowFields>
  <rowItems count="7">
    <i>
      <x/>
    </i>
    <i>
      <x v="1"/>
    </i>
    <i>
      <x v="2"/>
    </i>
    <i>
      <x v="3"/>
    </i>
    <i>
      <x v="4"/>
    </i>
    <i>
      <x v="5"/>
    </i>
    <i t="grand">
      <x/>
    </i>
  </rowItems>
  <colItems count="1">
    <i/>
  </colItems>
  <dataFields count="1">
    <dataField name="Sum of Total_Sales" fld="11" baseField="0" baseItem="0"/>
  </dataFields>
  <chartFormats count="3">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3" format="3">
      <pivotArea type="data" outline="0" fieldPosition="0">
        <references count="2">
          <reference field="4294967294" count="1" selected="0">
            <x v="0"/>
          </reference>
          <reference field="15"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95ED6FE3-8DA5-4661-901F-F0CDF700EB3B}" name="PivotTable6"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BB5:BC9" firstHeaderRow="1" firstDataRow="1" firstDataCol="1"/>
  <pivotFields count="18">
    <pivotField showAll="0"/>
    <pivotField showAll="0"/>
    <pivotField showAll="0"/>
    <pivotField showAll="0"/>
    <pivotField showAll="0"/>
    <pivotField axis="axisRow" showAll="0">
      <items count="4">
        <item x="1"/>
        <item x="0"/>
        <item x="2"/>
        <item t="default"/>
      </items>
    </pivotField>
    <pivotField showAll="0"/>
    <pivotField showAll="0"/>
    <pivotField showAll="0"/>
    <pivotField showAll="0"/>
    <pivotField showAll="0"/>
    <pivotField dataField="1" showAll="0"/>
    <pivotField showAll="0"/>
    <pivotField showAll="0"/>
    <pivotField showAll="0"/>
    <pivotField showAll="0"/>
    <pivotField showAll="0"/>
    <pivotField showAll="0"/>
  </pivotFields>
  <rowFields count="1">
    <field x="5"/>
  </rowFields>
  <rowItems count="4">
    <i>
      <x/>
    </i>
    <i>
      <x v="1"/>
    </i>
    <i>
      <x v="2"/>
    </i>
    <i t="grand">
      <x/>
    </i>
  </rowItems>
  <colItems count="1">
    <i/>
  </colItems>
  <dataFields count="1">
    <dataField name="Sum of Total_Sales" fld="11" baseField="0" baseItem="0"/>
  </dataFields>
  <chartFormats count="6">
    <chartFormat chart="0" format="0" series="1">
      <pivotArea type="data" outline="0" fieldPosition="0">
        <references count="1">
          <reference field="4294967294" count="1" selected="0">
            <x v="0"/>
          </reference>
        </references>
      </pivotArea>
    </chartFormat>
    <chartFormat chart="3" format="4" series="1">
      <pivotArea type="data" outline="0" fieldPosition="0">
        <references count="1">
          <reference field="4294967294" count="1" selected="0">
            <x v="0"/>
          </reference>
        </references>
      </pivotArea>
    </chartFormat>
    <chartFormat chart="3" format="5">
      <pivotArea type="data" outline="0" fieldPosition="0">
        <references count="2">
          <reference field="4294967294" count="1" selected="0">
            <x v="0"/>
          </reference>
          <reference field="5" count="1" selected="0">
            <x v="0"/>
          </reference>
        </references>
      </pivotArea>
    </chartFormat>
    <chartFormat chart="3" format="6">
      <pivotArea type="data" outline="0" fieldPosition="0">
        <references count="2">
          <reference field="4294967294" count="1" selected="0">
            <x v="0"/>
          </reference>
          <reference field="5" count="1" selected="0">
            <x v="1"/>
          </reference>
        </references>
      </pivotArea>
    </chartFormat>
    <chartFormat chart="0" format="1">
      <pivotArea type="data" outline="0" fieldPosition="0">
        <references count="2">
          <reference field="4294967294" count="1" selected="0">
            <x v="0"/>
          </reference>
          <reference field="5" count="1" selected="0">
            <x v="0"/>
          </reference>
        </references>
      </pivotArea>
    </chartFormat>
    <chartFormat chart="0" format="2">
      <pivotArea type="data" outline="0" fieldPosition="0">
        <references count="2">
          <reference field="4294967294" count="1" selected="0">
            <x v="0"/>
          </reference>
          <reference field="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F1DF147F-3589-44EF-8487-7D5BEF7F0719}" name="PivotTable5"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L10:AM20" firstHeaderRow="1" firstDataRow="1" firstDataCol="1"/>
  <pivotFields count="18">
    <pivotField showAll="0"/>
    <pivotField showAll="0"/>
    <pivotField showAll="0"/>
    <pivotField showAll="0"/>
    <pivotField showAll="0"/>
    <pivotField showAll="0"/>
    <pivotField showAll="0"/>
    <pivotField axis="axisRow" showAll="0">
      <items count="10">
        <item x="5"/>
        <item x="7"/>
        <item x="1"/>
        <item x="2"/>
        <item x="4"/>
        <item x="3"/>
        <item x="6"/>
        <item x="0"/>
        <item x="8"/>
        <item t="default"/>
      </items>
    </pivotField>
    <pivotField showAll="0"/>
    <pivotField dataField="1" showAll="0"/>
    <pivotField showAll="0"/>
    <pivotField showAll="0"/>
    <pivotField showAll="0"/>
    <pivotField showAll="0"/>
    <pivotField showAll="0"/>
    <pivotField showAll="0"/>
    <pivotField showAll="0"/>
    <pivotField showAll="0"/>
  </pivotFields>
  <rowFields count="1">
    <field x="7"/>
  </rowFields>
  <rowItems count="10">
    <i>
      <x/>
    </i>
    <i>
      <x v="1"/>
    </i>
    <i>
      <x v="2"/>
    </i>
    <i>
      <x v="3"/>
    </i>
    <i>
      <x v="4"/>
    </i>
    <i>
      <x v="5"/>
    </i>
    <i>
      <x v="6"/>
    </i>
    <i>
      <x v="7"/>
    </i>
    <i>
      <x v="8"/>
    </i>
    <i t="grand">
      <x/>
    </i>
  </rowItems>
  <colItems count="1">
    <i/>
  </colItems>
  <dataFields count="1">
    <dataField name="Sum of Quantity" fld="9" baseField="0" baseItem="0"/>
  </dataFields>
  <chartFormats count="1">
    <chartFormat chart="1"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5E1E11D-514A-4C02-AC5C-1F6E8184326E}" name="PivotTable9"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CZ21:DA30" firstHeaderRow="1" firstDataRow="1" firstDataCol="1"/>
  <pivotFields count="18">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items count="7">
        <item x="3"/>
        <item x="2"/>
        <item x="1"/>
        <item x="4"/>
        <item x="0"/>
        <item x="5"/>
        <item t="default"/>
      </items>
    </pivotField>
    <pivotField showAll="0"/>
    <pivotField axis="axisRow" showAll="0">
      <items count="10">
        <item x="0"/>
        <item x="1"/>
        <item x="2"/>
        <item x="3"/>
        <item x="4"/>
        <item x="5"/>
        <item x="6"/>
        <item x="7"/>
        <item h="1" x="8"/>
        <item t="default"/>
      </items>
    </pivotField>
  </pivotFields>
  <rowFields count="1">
    <field x="17"/>
  </rowFields>
  <rowItems count="9">
    <i>
      <x/>
    </i>
    <i>
      <x v="1"/>
    </i>
    <i>
      <x v="2"/>
    </i>
    <i>
      <x v="3"/>
    </i>
    <i>
      <x v="4"/>
    </i>
    <i>
      <x v="5"/>
    </i>
    <i>
      <x v="6"/>
    </i>
    <i>
      <x v="7"/>
    </i>
    <i t="grand">
      <x/>
    </i>
  </rowItems>
  <colItems count="1">
    <i/>
  </colItems>
  <dataFields count="1">
    <dataField name="Sum of Gross_Margin_%" fld="14"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53FD0CFF-6F06-45EA-94DD-2D541D308539}" name="PivotTable4"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Y12:Z22" firstHeaderRow="1" firstDataRow="1" firstDataCol="1"/>
  <pivotFields count="18">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axis="axisRow" showAll="0">
      <items count="10">
        <item x="0"/>
        <item x="1"/>
        <item x="2"/>
        <item x="3"/>
        <item x="4"/>
        <item x="5"/>
        <item x="6"/>
        <item x="7"/>
        <item x="8"/>
        <item t="default"/>
      </items>
    </pivotField>
  </pivotFields>
  <rowFields count="1">
    <field x="17"/>
  </rowFields>
  <rowItems count="10">
    <i>
      <x/>
    </i>
    <i>
      <x v="1"/>
    </i>
    <i>
      <x v="2"/>
    </i>
    <i>
      <x v="3"/>
    </i>
    <i>
      <x v="4"/>
    </i>
    <i>
      <x v="5"/>
    </i>
    <i>
      <x v="6"/>
    </i>
    <i>
      <x v="7"/>
    </i>
    <i>
      <x v="8"/>
    </i>
    <i t="grand">
      <x/>
    </i>
  </rowItems>
  <colItems count="1">
    <i/>
  </colItems>
  <dataFields count="1">
    <dataField name="Sum of Total_Sales" fld="11" baseField="0" baseItem="0"/>
  </dataFields>
  <chartFormats count="3">
    <chartFormat chart="0" format="0" series="1">
      <pivotArea type="data" outline="0" fieldPosition="0">
        <references count="1">
          <reference field="4294967294" count="1" selected="0">
            <x v="0"/>
          </reference>
        </references>
      </pivotArea>
    </chartFormat>
    <chartFormat chart="3" format="3" series="1">
      <pivotArea type="data" outline="0" fieldPosition="0">
        <references count="1">
          <reference field="4294967294" count="1" selected="0">
            <x v="0"/>
          </reference>
        </references>
      </pivotArea>
    </chartFormat>
    <chartFormat chart="3" format="4">
      <pivotArea type="data" outline="0" fieldPosition="0">
        <references count="2">
          <reference field="4294967294" count="1" selected="0">
            <x v="0"/>
          </reference>
          <reference field="17" count="1" selected="0">
            <x v="8"/>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ranch" xr10:uid="{64A37DCD-0771-42F0-B65D-3B81CE92A60B}" sourceName="Branch">
  <pivotTables>
    <pivotTable tabId="4" name="PivotTable1"/>
  </pivotTables>
  <data>
    <tabular pivotCacheId="1648390224">
      <items count="5">
        <i x="0" s="1"/>
        <i x="2" s="1"/>
        <i x="3" s="1"/>
        <i x="4" s="1"/>
        <i x="1" s="1"/>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Line" xr10:uid="{B6667BBF-D8D0-451A-A451-4668188B6921}" sourceName="Product_Line">
  <pivotTables>
    <pivotTable tabId="4" name="PivotTable2"/>
  </pivotTables>
  <data>
    <tabular pivotCacheId="1648390224">
      <items count="8">
        <i x="5" s="1"/>
        <i x="7" s="1"/>
        <i x="1" s="1"/>
        <i x="2" s="1"/>
        <i x="4" s="1"/>
        <i x="3" s="1"/>
        <i x="6"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_by_month" xr10:uid="{41009DC4-2E07-4603-8774-1AA60A61DDFC}" sourceName="sales by month">
  <pivotTables>
    <pivotTable tabId="4" name="PivotTable4"/>
  </pivotTables>
  <data>
    <tabular pivotCacheId="1868242759">
      <items count="9">
        <i x="0" s="1"/>
        <i x="1" s="1"/>
        <i x="2" s="1"/>
        <i x="3" s="1"/>
        <i x="4" s="1"/>
        <i x="5" s="1"/>
        <i x="6" s="1"/>
        <i x="7" s="1"/>
        <i x="8" s="1" nd="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Line1" xr10:uid="{CC293630-63DD-4965-BCF0-09A24ACF127A}" sourceName="Product_Line">
  <pivotTables>
    <pivotTable tabId="4" name="PivotTable5"/>
  </pivotTables>
  <data>
    <tabular pivotCacheId="1868242759">
      <items count="9">
        <i x="5" s="1"/>
        <i x="7" s="1"/>
        <i x="1" s="1"/>
        <i x="2" s="1"/>
        <i x="4" s="1"/>
        <i x="3" s="1"/>
        <i x="6" s="1"/>
        <i x="0" s="1"/>
        <i x="8" s="1" nd="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_Type" xr10:uid="{EF0B204D-FA94-440D-BA22-DE11132644D6}" sourceName="Customer_Type">
  <pivotTables>
    <pivotTable tabId="4" name="PivotTable6"/>
  </pivotTables>
  <data>
    <tabular pivotCacheId="1868242759">
      <items count="3">
        <i x="1" s="1"/>
        <i x="0" s="1"/>
        <i x="2" s="1" nd="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 xr10:uid="{011BC07B-D8C7-4EDB-BEB6-C1E878784DCF}" sourceName="Payment">
  <pivotTables>
    <pivotTable tabId="4" name="PivotTable7"/>
  </pivotTables>
  <data>
    <tabular pivotCacheId="1868242759">
      <items count="6">
        <i x="3" s="1"/>
        <i x="2" s="1"/>
        <i x="1" s="1"/>
        <i x="4" s="1"/>
        <i x="0" s="1"/>
        <i x="5"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Branch" xr10:uid="{A6EE0DFC-653F-44E4-AAFA-7948846450B8}" cache="Slicer_Branch" caption="Branch" rowHeight="234950"/>
  <slicer name="Product_Line" xr10:uid="{6BBEE869-980B-4FAF-958D-E147F7FD3013}" cache="Slicer_Product_Line" caption="Product_Line" rowHeight="234950"/>
  <slicer name="sales by month" xr10:uid="{74EAA4AB-B73F-472F-87B9-B062568F9B99}" cache="Slicer_sales_by_month" caption="sales by month" rowHeight="234950"/>
  <slicer name="Product_Line 2" xr10:uid="{312E6DFA-B7A9-42EF-B71F-56213D39AD9A}" cache="Slicer_Product_Line1" caption="Product_Line" rowHeight="234950"/>
  <slicer name="Customer_Type" xr10:uid="{E03A3093-9FF3-4CEC-B8EA-56A3CC4BD0B9}" cache="Slicer_Customer_Type" caption="Customer_Type" rowHeight="234950"/>
  <slicer name="Payment" xr10:uid="{8DE32711-45DB-4D30-847C-C90D312FCE0E}" cache="Slicer_Payment" caption="Payment"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ashboard" xr10:uid="{424B9146-75E3-493D-9112-6E5726060B7F}" cache="Slicer_Branch" caption="Branch" columnCount="2" style="My dashboard Style" rowHeight="234950"/>
  <slicer name="Product_Line 1" xr10:uid="{4D8E2FDD-C3ED-4CB7-8A72-DBC49D142503}" cache="Slicer_Product_Line" caption="Product_Line" columnCount="2" style="My dashboard Style" rowHeight="234950"/>
  <slicer name="sales by month 1" xr10:uid="{BB6C7A4D-BE7C-401C-B7A7-67F659EA6B1C}" cache="Slicer_sales_by_month" caption="sales by month" columnCount="3" style="My dashboard Style" rowHeight="234950"/>
  <slicer name="Customer_Type 1" xr10:uid="{6FD047EB-8B6C-48F7-80E6-CEEE3B5CDA46}" cache="Slicer_Customer_Type" caption="Customer_Type" columnCount="2" style="My dashboard Style" rowHeight="234950"/>
  <slicer name="Payment 1" xr10:uid="{C7D95200-3B6B-4818-8B7E-199BAA8538B7}" cache="Slicer_Payment" caption="Payment" columnCount="2" style="My dashboard Style"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4.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microsoft.com/office/2007/relationships/slicer" Target="../slicers/slicer1.xml"/><Relationship Id="rId4" Type="http://schemas.openxmlformats.org/officeDocument/2006/relationships/pivotTable" Target="../pivotTables/pivotTable4.xml"/><Relationship Id="rId9"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R502"/>
  <sheetViews>
    <sheetView zoomScale="94" workbookViewId="0"/>
  </sheetViews>
  <sheetFormatPr defaultColWidth="18" defaultRowHeight="14.4" x14ac:dyDescent="0.3"/>
  <cols>
    <col min="1" max="1" width="14.6640625" bestFit="1" customWidth="1"/>
    <col min="2" max="2" width="10.77734375" style="2" bestFit="1" customWidth="1"/>
    <col min="3" max="3" width="9.88671875" bestFit="1" customWidth="1"/>
    <col min="4" max="4" width="16.5546875" bestFit="1" customWidth="1"/>
    <col min="5" max="5" width="12.6640625" bestFit="1" customWidth="1"/>
    <col min="6" max="6" width="19" bestFit="1" customWidth="1"/>
    <col min="7" max="7" width="12" bestFit="1" customWidth="1"/>
    <col min="8" max="8" width="17.21875" bestFit="1" customWidth="1"/>
    <col min="9" max="9" width="14.44140625" bestFit="1" customWidth="1"/>
    <col min="10" max="10" width="13.109375" bestFit="1" customWidth="1"/>
    <col min="11" max="11" width="8.6640625" bestFit="1" customWidth="1"/>
    <col min="12" max="12" width="15.109375" style="3" bestFit="1" customWidth="1"/>
    <col min="13" max="13" width="10.5546875" bestFit="1" customWidth="1"/>
    <col min="14" max="14" width="17.77734375" bestFit="1" customWidth="1"/>
    <col min="15" max="15" width="19.88671875" bestFit="1" customWidth="1"/>
    <col min="16" max="16" width="13.21875" bestFit="1" customWidth="1"/>
    <col min="17" max="17" width="11.109375" bestFit="1" customWidth="1"/>
    <col min="18" max="18" width="15.21875" customWidth="1"/>
  </cols>
  <sheetData>
    <row r="1" spans="1:18"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940</v>
      </c>
    </row>
    <row r="2" spans="1:18" x14ac:dyDescent="0.3">
      <c r="A2" t="s">
        <v>17</v>
      </c>
      <c r="B2">
        <v>46023</v>
      </c>
      <c r="C2" t="s">
        <v>18</v>
      </c>
      <c r="D2" t="s">
        <v>19</v>
      </c>
      <c r="E2" t="s">
        <v>20</v>
      </c>
      <c r="F2" t="s">
        <v>21</v>
      </c>
      <c r="G2" t="s">
        <v>22</v>
      </c>
      <c r="H2" t="s">
        <v>23</v>
      </c>
      <c r="I2">
        <v>117.04</v>
      </c>
      <c r="J2">
        <v>9</v>
      </c>
      <c r="K2">
        <v>52.67</v>
      </c>
      <c r="L2">
        <v>1106.03</v>
      </c>
      <c r="M2">
        <v>900.38</v>
      </c>
      <c r="N2">
        <v>205.65</v>
      </c>
      <c r="O2">
        <v>18.59</v>
      </c>
      <c r="P2" t="s">
        <v>24</v>
      </c>
      <c r="Q2">
        <v>8</v>
      </c>
      <c r="R2" t="str">
        <f>TEXT(B2,"mmmm")</f>
        <v>January</v>
      </c>
    </row>
    <row r="3" spans="1:18" x14ac:dyDescent="0.3">
      <c r="A3" t="s">
        <v>25</v>
      </c>
      <c r="B3">
        <v>46023</v>
      </c>
      <c r="C3" t="s">
        <v>26</v>
      </c>
      <c r="D3" t="s">
        <v>19</v>
      </c>
      <c r="E3" t="s">
        <v>20</v>
      </c>
      <c r="F3" t="s">
        <v>21</v>
      </c>
      <c r="G3" t="s">
        <v>27</v>
      </c>
      <c r="H3" t="s">
        <v>28</v>
      </c>
      <c r="I3">
        <v>104.35</v>
      </c>
      <c r="J3">
        <v>2</v>
      </c>
      <c r="K3">
        <v>10.44</v>
      </c>
      <c r="L3">
        <v>219.14</v>
      </c>
      <c r="M3">
        <v>154.80000000000001</v>
      </c>
      <c r="N3">
        <v>64.34</v>
      </c>
      <c r="O3">
        <v>29.36</v>
      </c>
      <c r="P3" t="s">
        <v>29</v>
      </c>
      <c r="Q3">
        <v>8.1999999999999993</v>
      </c>
      <c r="R3" t="str">
        <f t="shared" ref="R3:R66" si="0">TEXT(B3,"mmmm")</f>
        <v>January</v>
      </c>
    </row>
    <row r="4" spans="1:18" x14ac:dyDescent="0.3">
      <c r="A4" t="s">
        <v>30</v>
      </c>
      <c r="B4">
        <v>46023</v>
      </c>
      <c r="C4" t="s">
        <v>31</v>
      </c>
      <c r="D4" t="s">
        <v>32</v>
      </c>
      <c r="E4" t="s">
        <v>32</v>
      </c>
      <c r="F4" t="s">
        <v>33</v>
      </c>
      <c r="G4" t="s">
        <v>27</v>
      </c>
      <c r="H4" t="s">
        <v>34</v>
      </c>
      <c r="I4">
        <v>80.569999999999993</v>
      </c>
      <c r="J4">
        <v>4</v>
      </c>
      <c r="K4">
        <v>16.11</v>
      </c>
      <c r="L4">
        <v>338.39</v>
      </c>
      <c r="M4">
        <v>259.74</v>
      </c>
      <c r="N4">
        <v>78.650000000000006</v>
      </c>
      <c r="O4">
        <v>23.24</v>
      </c>
      <c r="P4" t="s">
        <v>35</v>
      </c>
      <c r="Q4">
        <v>9.3000000000000007</v>
      </c>
      <c r="R4" t="str">
        <f t="shared" si="0"/>
        <v>January</v>
      </c>
    </row>
    <row r="5" spans="1:18" x14ac:dyDescent="0.3">
      <c r="A5" t="s">
        <v>36</v>
      </c>
      <c r="B5">
        <v>46023</v>
      </c>
      <c r="C5" t="s">
        <v>37</v>
      </c>
      <c r="D5" t="s">
        <v>19</v>
      </c>
      <c r="E5" t="s">
        <v>20</v>
      </c>
      <c r="F5" t="s">
        <v>33</v>
      </c>
      <c r="G5" t="s">
        <v>27</v>
      </c>
      <c r="H5" t="s">
        <v>28</v>
      </c>
      <c r="I5">
        <v>108.68</v>
      </c>
      <c r="J5">
        <v>7</v>
      </c>
      <c r="K5">
        <v>38.04</v>
      </c>
      <c r="L5">
        <v>798.8</v>
      </c>
      <c r="M5">
        <v>604.12</v>
      </c>
      <c r="N5">
        <v>194.68</v>
      </c>
      <c r="O5">
        <v>24.37</v>
      </c>
      <c r="P5" t="s">
        <v>38</v>
      </c>
      <c r="Q5">
        <v>6.7</v>
      </c>
      <c r="R5" t="str">
        <f t="shared" si="0"/>
        <v>January</v>
      </c>
    </row>
    <row r="6" spans="1:18" x14ac:dyDescent="0.3">
      <c r="A6" t="s">
        <v>39</v>
      </c>
      <c r="B6">
        <v>46024</v>
      </c>
      <c r="C6" t="s">
        <v>40</v>
      </c>
      <c r="D6" t="s">
        <v>41</v>
      </c>
      <c r="E6" t="s">
        <v>20</v>
      </c>
      <c r="F6" t="s">
        <v>33</v>
      </c>
      <c r="G6" t="s">
        <v>22</v>
      </c>
      <c r="H6" t="s">
        <v>42</v>
      </c>
      <c r="I6">
        <v>298.82</v>
      </c>
      <c r="J6">
        <v>9</v>
      </c>
      <c r="K6">
        <v>134.47</v>
      </c>
      <c r="L6">
        <v>2823.85</v>
      </c>
      <c r="M6">
        <v>2000.55</v>
      </c>
      <c r="N6">
        <v>823.3</v>
      </c>
      <c r="O6">
        <v>29.16</v>
      </c>
      <c r="P6" t="s">
        <v>29</v>
      </c>
      <c r="Q6">
        <v>8.4</v>
      </c>
      <c r="R6" t="str">
        <f t="shared" si="0"/>
        <v>January</v>
      </c>
    </row>
    <row r="7" spans="1:18" x14ac:dyDescent="0.3">
      <c r="A7" t="s">
        <v>43</v>
      </c>
      <c r="B7">
        <v>46025</v>
      </c>
      <c r="C7" t="s">
        <v>44</v>
      </c>
      <c r="D7" t="s">
        <v>19</v>
      </c>
      <c r="E7" t="s">
        <v>20</v>
      </c>
      <c r="F7" t="s">
        <v>33</v>
      </c>
      <c r="G7" t="s">
        <v>27</v>
      </c>
      <c r="H7" t="s">
        <v>45</v>
      </c>
      <c r="I7">
        <v>243.36</v>
      </c>
      <c r="J7">
        <v>9</v>
      </c>
      <c r="K7">
        <v>109.51</v>
      </c>
      <c r="L7">
        <v>2299.75</v>
      </c>
      <c r="M7">
        <v>1830.37</v>
      </c>
      <c r="N7">
        <v>469.38</v>
      </c>
      <c r="O7">
        <v>20.41</v>
      </c>
      <c r="P7" t="s">
        <v>46</v>
      </c>
      <c r="Q7">
        <v>8.6</v>
      </c>
      <c r="R7" t="str">
        <f t="shared" si="0"/>
        <v>January</v>
      </c>
    </row>
    <row r="8" spans="1:18" x14ac:dyDescent="0.3">
      <c r="A8" t="s">
        <v>47</v>
      </c>
      <c r="B8">
        <v>46025</v>
      </c>
      <c r="C8" t="s">
        <v>48</v>
      </c>
      <c r="D8" t="s">
        <v>19</v>
      </c>
      <c r="E8" t="s">
        <v>20</v>
      </c>
      <c r="F8" t="s">
        <v>33</v>
      </c>
      <c r="G8" t="s">
        <v>27</v>
      </c>
      <c r="H8" t="s">
        <v>23</v>
      </c>
      <c r="I8">
        <v>134.26</v>
      </c>
      <c r="J8">
        <v>9</v>
      </c>
      <c r="K8">
        <v>60.42</v>
      </c>
      <c r="L8">
        <v>1268.76</v>
      </c>
      <c r="M8">
        <v>907.16</v>
      </c>
      <c r="N8">
        <v>361.6</v>
      </c>
      <c r="O8">
        <v>28.5</v>
      </c>
      <c r="P8" t="s">
        <v>46</v>
      </c>
      <c r="Q8">
        <v>9</v>
      </c>
      <c r="R8" t="str">
        <f t="shared" si="0"/>
        <v>January</v>
      </c>
    </row>
    <row r="9" spans="1:18" x14ac:dyDescent="0.3">
      <c r="A9" t="s">
        <v>49</v>
      </c>
      <c r="B9">
        <v>46026</v>
      </c>
      <c r="C9" t="s">
        <v>50</v>
      </c>
      <c r="D9" t="s">
        <v>51</v>
      </c>
      <c r="E9" t="s">
        <v>51</v>
      </c>
      <c r="F9" t="s">
        <v>33</v>
      </c>
      <c r="G9" t="s">
        <v>22</v>
      </c>
      <c r="H9" t="s">
        <v>52</v>
      </c>
      <c r="I9">
        <v>58.01</v>
      </c>
      <c r="J9">
        <v>1</v>
      </c>
      <c r="K9">
        <v>2.9</v>
      </c>
      <c r="L9">
        <v>60.91</v>
      </c>
      <c r="M9">
        <v>45.07</v>
      </c>
      <c r="N9">
        <v>15.84</v>
      </c>
      <c r="O9">
        <v>26.01</v>
      </c>
      <c r="P9" t="s">
        <v>35</v>
      </c>
      <c r="Q9">
        <v>8.1</v>
      </c>
      <c r="R9" t="str">
        <f t="shared" si="0"/>
        <v>January</v>
      </c>
    </row>
    <row r="10" spans="1:18" x14ac:dyDescent="0.3">
      <c r="A10" t="s">
        <v>53</v>
      </c>
      <c r="B10">
        <v>46026</v>
      </c>
      <c r="C10" t="s">
        <v>54</v>
      </c>
      <c r="D10" t="s">
        <v>19</v>
      </c>
      <c r="E10" t="s">
        <v>20</v>
      </c>
      <c r="F10" t="s">
        <v>21</v>
      </c>
      <c r="G10" t="s">
        <v>27</v>
      </c>
      <c r="H10" t="s">
        <v>45</v>
      </c>
      <c r="I10">
        <v>232.56</v>
      </c>
      <c r="J10">
        <v>6</v>
      </c>
      <c r="K10">
        <v>69.77</v>
      </c>
      <c r="L10">
        <v>1465.13</v>
      </c>
      <c r="M10">
        <v>1206.6300000000001</v>
      </c>
      <c r="N10">
        <v>258.5</v>
      </c>
      <c r="O10">
        <v>17.64</v>
      </c>
      <c r="P10" t="s">
        <v>38</v>
      </c>
      <c r="Q10">
        <v>9.6</v>
      </c>
      <c r="R10" t="str">
        <f t="shared" si="0"/>
        <v>January</v>
      </c>
    </row>
    <row r="11" spans="1:18" x14ac:dyDescent="0.3">
      <c r="A11" t="s">
        <v>55</v>
      </c>
      <c r="B11">
        <v>46026</v>
      </c>
      <c r="C11" t="s">
        <v>56</v>
      </c>
      <c r="D11" t="s">
        <v>19</v>
      </c>
      <c r="E11" t="s">
        <v>20</v>
      </c>
      <c r="F11" t="s">
        <v>33</v>
      </c>
      <c r="G11" t="s">
        <v>27</v>
      </c>
      <c r="H11" t="s">
        <v>23</v>
      </c>
      <c r="I11">
        <v>113.08</v>
      </c>
      <c r="J11">
        <v>8</v>
      </c>
      <c r="K11">
        <v>45.23</v>
      </c>
      <c r="L11">
        <v>949.87</v>
      </c>
      <c r="M11">
        <v>651.47</v>
      </c>
      <c r="N11">
        <v>298.39999999999998</v>
      </c>
      <c r="O11">
        <v>31.41</v>
      </c>
      <c r="P11" t="s">
        <v>35</v>
      </c>
      <c r="Q11">
        <v>7.9</v>
      </c>
      <c r="R11" t="str">
        <f t="shared" si="0"/>
        <v>January</v>
      </c>
    </row>
    <row r="12" spans="1:18" x14ac:dyDescent="0.3">
      <c r="A12" t="s">
        <v>57</v>
      </c>
      <c r="B12">
        <v>46026</v>
      </c>
      <c r="C12" t="s">
        <v>58</v>
      </c>
      <c r="D12" t="s">
        <v>59</v>
      </c>
      <c r="E12" t="s">
        <v>59</v>
      </c>
      <c r="F12" t="s">
        <v>33</v>
      </c>
      <c r="G12" t="s">
        <v>22</v>
      </c>
      <c r="H12" t="s">
        <v>34</v>
      </c>
      <c r="I12">
        <v>49.73</v>
      </c>
      <c r="J12">
        <v>4</v>
      </c>
      <c r="K12">
        <v>9.9499999999999993</v>
      </c>
      <c r="L12">
        <v>208.87</v>
      </c>
      <c r="M12">
        <v>152.72999999999999</v>
      </c>
      <c r="N12">
        <v>56.14</v>
      </c>
      <c r="O12">
        <v>26.88</v>
      </c>
      <c r="P12" t="s">
        <v>46</v>
      </c>
      <c r="Q12">
        <v>6.9</v>
      </c>
      <c r="R12" t="str">
        <f t="shared" si="0"/>
        <v>January</v>
      </c>
    </row>
    <row r="13" spans="1:18" x14ac:dyDescent="0.3">
      <c r="A13" t="s">
        <v>60</v>
      </c>
      <c r="B13">
        <v>46028</v>
      </c>
      <c r="C13" t="s">
        <v>61</v>
      </c>
      <c r="D13" t="s">
        <v>41</v>
      </c>
      <c r="E13" t="s">
        <v>20</v>
      </c>
      <c r="F13" t="s">
        <v>33</v>
      </c>
      <c r="G13" t="s">
        <v>22</v>
      </c>
      <c r="H13" t="s">
        <v>45</v>
      </c>
      <c r="I13">
        <v>201.68</v>
      </c>
      <c r="J13">
        <v>1</v>
      </c>
      <c r="K13">
        <v>10.08</v>
      </c>
      <c r="L13">
        <v>211.76</v>
      </c>
      <c r="M13">
        <v>154.59</v>
      </c>
      <c r="N13">
        <v>57.17</v>
      </c>
      <c r="O13">
        <v>27</v>
      </c>
      <c r="P13" t="s">
        <v>35</v>
      </c>
      <c r="Q13">
        <v>9.5</v>
      </c>
      <c r="R13" t="str">
        <f t="shared" si="0"/>
        <v>January</v>
      </c>
    </row>
    <row r="14" spans="1:18" x14ac:dyDescent="0.3">
      <c r="A14" t="s">
        <v>62</v>
      </c>
      <c r="B14">
        <v>46028</v>
      </c>
      <c r="C14" t="s">
        <v>63</v>
      </c>
      <c r="D14" t="s">
        <v>19</v>
      </c>
      <c r="E14" t="s">
        <v>20</v>
      </c>
      <c r="F14" t="s">
        <v>33</v>
      </c>
      <c r="G14" t="s">
        <v>27</v>
      </c>
      <c r="H14" t="s">
        <v>45</v>
      </c>
      <c r="I14">
        <v>211.82</v>
      </c>
      <c r="J14">
        <v>9</v>
      </c>
      <c r="K14">
        <v>95.32</v>
      </c>
      <c r="L14">
        <v>2001.7</v>
      </c>
      <c r="M14">
        <v>1644.36</v>
      </c>
      <c r="N14">
        <v>357.34</v>
      </c>
      <c r="O14">
        <v>17.850000000000001</v>
      </c>
      <c r="P14" t="s">
        <v>24</v>
      </c>
      <c r="Q14">
        <v>8.6</v>
      </c>
      <c r="R14" t="str">
        <f t="shared" si="0"/>
        <v>January</v>
      </c>
    </row>
    <row r="15" spans="1:18" x14ac:dyDescent="0.3">
      <c r="A15" t="s">
        <v>64</v>
      </c>
      <c r="B15">
        <v>46030</v>
      </c>
      <c r="C15" t="s">
        <v>65</v>
      </c>
      <c r="D15" t="s">
        <v>19</v>
      </c>
      <c r="E15" t="s">
        <v>20</v>
      </c>
      <c r="F15" t="s">
        <v>33</v>
      </c>
      <c r="G15" t="s">
        <v>27</v>
      </c>
      <c r="H15" t="s">
        <v>34</v>
      </c>
      <c r="I15">
        <v>70.33</v>
      </c>
      <c r="J15">
        <v>4</v>
      </c>
      <c r="K15">
        <v>14.07</v>
      </c>
      <c r="L15">
        <v>295.39</v>
      </c>
      <c r="M15">
        <v>222.21</v>
      </c>
      <c r="N15">
        <v>73.180000000000007</v>
      </c>
      <c r="O15">
        <v>24.77</v>
      </c>
      <c r="P15" t="s">
        <v>35</v>
      </c>
      <c r="Q15">
        <v>8.4</v>
      </c>
      <c r="R15" t="str">
        <f t="shared" si="0"/>
        <v>January</v>
      </c>
    </row>
    <row r="16" spans="1:18" x14ac:dyDescent="0.3">
      <c r="A16" t="s">
        <v>66</v>
      </c>
      <c r="B16">
        <v>46030</v>
      </c>
      <c r="C16" t="s">
        <v>67</v>
      </c>
      <c r="D16" t="s">
        <v>59</v>
      </c>
      <c r="E16" t="s">
        <v>59</v>
      </c>
      <c r="F16" t="s">
        <v>21</v>
      </c>
      <c r="G16" t="s">
        <v>27</v>
      </c>
      <c r="H16" t="s">
        <v>23</v>
      </c>
      <c r="I16">
        <v>99.13</v>
      </c>
      <c r="J16">
        <v>4</v>
      </c>
      <c r="K16">
        <v>19.829999999999998</v>
      </c>
      <c r="L16">
        <v>416.35</v>
      </c>
      <c r="M16">
        <v>284.37</v>
      </c>
      <c r="N16">
        <v>131.97999999999999</v>
      </c>
      <c r="O16">
        <v>31.7</v>
      </c>
      <c r="P16" t="s">
        <v>29</v>
      </c>
      <c r="Q16">
        <v>8.5</v>
      </c>
      <c r="R16" t="str">
        <f t="shared" si="0"/>
        <v>January</v>
      </c>
    </row>
    <row r="17" spans="1:18" x14ac:dyDescent="0.3">
      <c r="A17" t="s">
        <v>68</v>
      </c>
      <c r="B17">
        <v>46031</v>
      </c>
      <c r="C17" t="s">
        <v>69</v>
      </c>
      <c r="D17" t="s">
        <v>41</v>
      </c>
      <c r="E17" t="s">
        <v>20</v>
      </c>
      <c r="F17" t="s">
        <v>21</v>
      </c>
      <c r="G17" t="s">
        <v>27</v>
      </c>
      <c r="H17" t="s">
        <v>45</v>
      </c>
      <c r="I17">
        <v>208.83</v>
      </c>
      <c r="J17">
        <v>5</v>
      </c>
      <c r="K17">
        <v>52.21</v>
      </c>
      <c r="L17">
        <v>1096.3599999999999</v>
      </c>
      <c r="M17">
        <v>806.94</v>
      </c>
      <c r="N17">
        <v>289.42</v>
      </c>
      <c r="O17">
        <v>26.4</v>
      </c>
      <c r="P17" t="s">
        <v>38</v>
      </c>
      <c r="Q17">
        <v>8.1</v>
      </c>
      <c r="R17" t="str">
        <f t="shared" si="0"/>
        <v>January</v>
      </c>
    </row>
    <row r="18" spans="1:18" x14ac:dyDescent="0.3">
      <c r="A18" t="s">
        <v>70</v>
      </c>
      <c r="B18">
        <v>46031</v>
      </c>
      <c r="C18" t="s">
        <v>71</v>
      </c>
      <c r="D18" t="s">
        <v>59</v>
      </c>
      <c r="E18" t="s">
        <v>59</v>
      </c>
      <c r="F18" t="s">
        <v>33</v>
      </c>
      <c r="G18" t="s">
        <v>27</v>
      </c>
      <c r="H18" t="s">
        <v>72</v>
      </c>
      <c r="I18">
        <v>233.01</v>
      </c>
      <c r="J18">
        <v>9</v>
      </c>
      <c r="K18">
        <v>104.85</v>
      </c>
      <c r="L18">
        <v>2201.94</v>
      </c>
      <c r="M18">
        <v>1718.03</v>
      </c>
      <c r="N18">
        <v>483.91</v>
      </c>
      <c r="O18">
        <v>21.98</v>
      </c>
      <c r="P18" t="s">
        <v>38</v>
      </c>
      <c r="Q18">
        <v>9.9</v>
      </c>
      <c r="R18" t="str">
        <f t="shared" si="0"/>
        <v>January</v>
      </c>
    </row>
    <row r="19" spans="1:18" x14ac:dyDescent="0.3">
      <c r="A19" t="s">
        <v>73</v>
      </c>
      <c r="B19">
        <v>46031</v>
      </c>
      <c r="C19" t="s">
        <v>74</v>
      </c>
      <c r="D19" t="s">
        <v>51</v>
      </c>
      <c r="E19" t="s">
        <v>51</v>
      </c>
      <c r="F19" t="s">
        <v>33</v>
      </c>
      <c r="G19" t="s">
        <v>22</v>
      </c>
      <c r="H19" t="s">
        <v>45</v>
      </c>
      <c r="I19">
        <v>169.4</v>
      </c>
      <c r="J19">
        <v>10</v>
      </c>
      <c r="K19">
        <v>84.7</v>
      </c>
      <c r="L19">
        <v>1778.7</v>
      </c>
      <c r="M19">
        <v>1354.83</v>
      </c>
      <c r="N19">
        <v>423.87</v>
      </c>
      <c r="O19">
        <v>23.83</v>
      </c>
      <c r="P19" t="s">
        <v>29</v>
      </c>
      <c r="Q19">
        <v>6.9</v>
      </c>
      <c r="R19" t="str">
        <f t="shared" si="0"/>
        <v>January</v>
      </c>
    </row>
    <row r="20" spans="1:18" x14ac:dyDescent="0.3">
      <c r="A20" t="s">
        <v>75</v>
      </c>
      <c r="B20">
        <v>46032</v>
      </c>
      <c r="C20" t="s">
        <v>76</v>
      </c>
      <c r="D20" t="s">
        <v>19</v>
      </c>
      <c r="E20" t="s">
        <v>20</v>
      </c>
      <c r="F20" t="s">
        <v>33</v>
      </c>
      <c r="G20" t="s">
        <v>27</v>
      </c>
      <c r="H20" t="s">
        <v>28</v>
      </c>
      <c r="I20">
        <v>152.88</v>
      </c>
      <c r="J20">
        <v>9</v>
      </c>
      <c r="K20">
        <v>68.8</v>
      </c>
      <c r="L20">
        <v>1444.72</v>
      </c>
      <c r="M20">
        <v>980.48</v>
      </c>
      <c r="N20">
        <v>464.24</v>
      </c>
      <c r="O20">
        <v>32.130000000000003</v>
      </c>
      <c r="P20" t="s">
        <v>35</v>
      </c>
      <c r="Q20">
        <v>8.4</v>
      </c>
      <c r="R20" t="str">
        <f t="shared" si="0"/>
        <v>January</v>
      </c>
    </row>
    <row r="21" spans="1:18" x14ac:dyDescent="0.3">
      <c r="A21" t="s">
        <v>77</v>
      </c>
      <c r="B21">
        <v>46032</v>
      </c>
      <c r="C21" t="s">
        <v>78</v>
      </c>
      <c r="D21" t="s">
        <v>19</v>
      </c>
      <c r="E21" t="s">
        <v>20</v>
      </c>
      <c r="F21" t="s">
        <v>33</v>
      </c>
      <c r="G21" t="s">
        <v>22</v>
      </c>
      <c r="H21" t="s">
        <v>45</v>
      </c>
      <c r="I21">
        <v>218.63</v>
      </c>
      <c r="J21">
        <v>6</v>
      </c>
      <c r="K21">
        <v>65.59</v>
      </c>
      <c r="L21">
        <v>1377.37</v>
      </c>
      <c r="M21">
        <v>962.02</v>
      </c>
      <c r="N21">
        <v>415.35</v>
      </c>
      <c r="O21">
        <v>30.16</v>
      </c>
      <c r="P21" t="s">
        <v>29</v>
      </c>
      <c r="Q21">
        <v>8.8000000000000007</v>
      </c>
      <c r="R21" t="str">
        <f t="shared" si="0"/>
        <v>January</v>
      </c>
    </row>
    <row r="22" spans="1:18" x14ac:dyDescent="0.3">
      <c r="A22" t="s">
        <v>79</v>
      </c>
      <c r="B22">
        <v>46032</v>
      </c>
      <c r="C22" t="s">
        <v>80</v>
      </c>
      <c r="D22" t="s">
        <v>41</v>
      </c>
      <c r="E22" t="s">
        <v>20</v>
      </c>
      <c r="F22" t="s">
        <v>21</v>
      </c>
      <c r="G22" t="s">
        <v>22</v>
      </c>
      <c r="H22" t="s">
        <v>42</v>
      </c>
      <c r="I22">
        <v>399.35</v>
      </c>
      <c r="J22">
        <v>3</v>
      </c>
      <c r="K22">
        <v>59.9</v>
      </c>
      <c r="L22">
        <v>1257.95</v>
      </c>
      <c r="M22">
        <v>844.08</v>
      </c>
      <c r="N22">
        <v>413.87</v>
      </c>
      <c r="O22">
        <v>32.9</v>
      </c>
      <c r="P22" t="s">
        <v>38</v>
      </c>
      <c r="Q22">
        <v>7.6</v>
      </c>
      <c r="R22" t="str">
        <f t="shared" si="0"/>
        <v>January</v>
      </c>
    </row>
    <row r="23" spans="1:18" x14ac:dyDescent="0.3">
      <c r="A23" t="s">
        <v>81</v>
      </c>
      <c r="B23">
        <v>46033</v>
      </c>
      <c r="C23" t="s">
        <v>82</v>
      </c>
      <c r="D23" t="s">
        <v>59</v>
      </c>
      <c r="E23" t="s">
        <v>59</v>
      </c>
      <c r="F23" t="s">
        <v>33</v>
      </c>
      <c r="G23" t="s">
        <v>22</v>
      </c>
      <c r="H23" t="s">
        <v>28</v>
      </c>
      <c r="I23">
        <v>150.63</v>
      </c>
      <c r="J23">
        <v>2</v>
      </c>
      <c r="K23">
        <v>15.06</v>
      </c>
      <c r="L23">
        <v>316.32</v>
      </c>
      <c r="M23">
        <v>261.48</v>
      </c>
      <c r="N23">
        <v>54.84</v>
      </c>
      <c r="O23">
        <v>17.34</v>
      </c>
      <c r="P23" t="s">
        <v>35</v>
      </c>
      <c r="Q23">
        <v>7.7</v>
      </c>
      <c r="R23" t="str">
        <f t="shared" si="0"/>
        <v>January</v>
      </c>
    </row>
    <row r="24" spans="1:18" x14ac:dyDescent="0.3">
      <c r="A24" t="s">
        <v>83</v>
      </c>
      <c r="B24">
        <v>46034</v>
      </c>
      <c r="C24" t="s">
        <v>84</v>
      </c>
      <c r="D24" t="s">
        <v>19</v>
      </c>
      <c r="E24" t="s">
        <v>20</v>
      </c>
      <c r="F24" t="s">
        <v>33</v>
      </c>
      <c r="G24" t="s">
        <v>22</v>
      </c>
      <c r="H24" t="s">
        <v>34</v>
      </c>
      <c r="I24">
        <v>64.48</v>
      </c>
      <c r="J24">
        <v>6</v>
      </c>
      <c r="K24">
        <v>19.34</v>
      </c>
      <c r="L24">
        <v>406.22</v>
      </c>
      <c r="M24">
        <v>328.48</v>
      </c>
      <c r="N24">
        <v>77.739999999999995</v>
      </c>
      <c r="O24">
        <v>19.14</v>
      </c>
      <c r="P24" t="s">
        <v>46</v>
      </c>
      <c r="Q24">
        <v>5.7</v>
      </c>
      <c r="R24" t="str">
        <f t="shared" si="0"/>
        <v>January</v>
      </c>
    </row>
    <row r="25" spans="1:18" x14ac:dyDescent="0.3">
      <c r="A25" t="s">
        <v>85</v>
      </c>
      <c r="B25">
        <v>46034</v>
      </c>
      <c r="C25" t="s">
        <v>86</v>
      </c>
      <c r="D25" t="s">
        <v>19</v>
      </c>
      <c r="E25" t="s">
        <v>20</v>
      </c>
      <c r="F25" t="s">
        <v>21</v>
      </c>
      <c r="G25" t="s">
        <v>27</v>
      </c>
      <c r="H25" t="s">
        <v>45</v>
      </c>
      <c r="I25">
        <v>145.09</v>
      </c>
      <c r="J25">
        <v>10</v>
      </c>
      <c r="K25">
        <v>72.540000000000006</v>
      </c>
      <c r="L25">
        <v>1523.44</v>
      </c>
      <c r="M25">
        <v>1221.8</v>
      </c>
      <c r="N25">
        <v>301.64</v>
      </c>
      <c r="O25">
        <v>19.8</v>
      </c>
      <c r="P25" t="s">
        <v>46</v>
      </c>
      <c r="Q25">
        <v>7.2</v>
      </c>
      <c r="R25" t="str">
        <f t="shared" si="0"/>
        <v>January</v>
      </c>
    </row>
    <row r="26" spans="1:18" x14ac:dyDescent="0.3">
      <c r="A26" t="s">
        <v>87</v>
      </c>
      <c r="B26">
        <v>46034</v>
      </c>
      <c r="C26" t="s">
        <v>88</v>
      </c>
      <c r="D26" t="s">
        <v>32</v>
      </c>
      <c r="E26" t="s">
        <v>32</v>
      </c>
      <c r="F26" t="s">
        <v>21</v>
      </c>
      <c r="G26" t="s">
        <v>22</v>
      </c>
      <c r="H26" t="s">
        <v>23</v>
      </c>
      <c r="I26">
        <v>74.97</v>
      </c>
      <c r="J26">
        <v>9</v>
      </c>
      <c r="K26">
        <v>33.74</v>
      </c>
      <c r="L26">
        <v>708.47</v>
      </c>
      <c r="M26">
        <v>526.22</v>
      </c>
      <c r="N26">
        <v>182.25</v>
      </c>
      <c r="O26">
        <v>25.72</v>
      </c>
      <c r="P26" t="s">
        <v>35</v>
      </c>
      <c r="Q26">
        <v>7.2</v>
      </c>
      <c r="R26" t="str">
        <f t="shared" si="0"/>
        <v>January</v>
      </c>
    </row>
    <row r="27" spans="1:18" x14ac:dyDescent="0.3">
      <c r="A27" t="s">
        <v>89</v>
      </c>
      <c r="B27">
        <v>46035</v>
      </c>
      <c r="C27" t="s">
        <v>90</v>
      </c>
      <c r="D27" t="s">
        <v>51</v>
      </c>
      <c r="E27" t="s">
        <v>51</v>
      </c>
      <c r="F27" t="s">
        <v>33</v>
      </c>
      <c r="G27" t="s">
        <v>22</v>
      </c>
      <c r="H27" t="s">
        <v>34</v>
      </c>
      <c r="I27">
        <v>85.97</v>
      </c>
      <c r="J27">
        <v>4</v>
      </c>
      <c r="K27">
        <v>17.190000000000001</v>
      </c>
      <c r="L27">
        <v>361.07</v>
      </c>
      <c r="M27">
        <v>259.52999999999997</v>
      </c>
      <c r="N27">
        <v>101.54</v>
      </c>
      <c r="O27">
        <v>28.12</v>
      </c>
      <c r="P27" t="s">
        <v>29</v>
      </c>
      <c r="Q27">
        <v>8.1</v>
      </c>
      <c r="R27" t="str">
        <f t="shared" si="0"/>
        <v>January</v>
      </c>
    </row>
    <row r="28" spans="1:18" x14ac:dyDescent="0.3">
      <c r="A28" t="s">
        <v>91</v>
      </c>
      <c r="B28">
        <v>46036</v>
      </c>
      <c r="C28" t="s">
        <v>92</v>
      </c>
      <c r="D28" t="s">
        <v>19</v>
      </c>
      <c r="E28" t="s">
        <v>20</v>
      </c>
      <c r="F28" t="s">
        <v>21</v>
      </c>
      <c r="G28" t="s">
        <v>22</v>
      </c>
      <c r="H28" t="s">
        <v>28</v>
      </c>
      <c r="I28">
        <v>104.53</v>
      </c>
      <c r="J28">
        <v>3</v>
      </c>
      <c r="K28">
        <v>15.68</v>
      </c>
      <c r="L28">
        <v>329.27</v>
      </c>
      <c r="M28">
        <v>227.33</v>
      </c>
      <c r="N28">
        <v>101.94</v>
      </c>
      <c r="O28">
        <v>30.96</v>
      </c>
      <c r="P28" t="s">
        <v>38</v>
      </c>
      <c r="Q28">
        <v>6.6</v>
      </c>
      <c r="R28" t="str">
        <f t="shared" si="0"/>
        <v>January</v>
      </c>
    </row>
    <row r="29" spans="1:18" x14ac:dyDescent="0.3">
      <c r="A29" t="s">
        <v>93</v>
      </c>
      <c r="B29">
        <v>46037</v>
      </c>
      <c r="C29" t="s">
        <v>94</v>
      </c>
      <c r="D29" t="s">
        <v>32</v>
      </c>
      <c r="E29" t="s">
        <v>32</v>
      </c>
      <c r="F29" t="s">
        <v>21</v>
      </c>
      <c r="G29" t="s">
        <v>27</v>
      </c>
      <c r="H29" t="s">
        <v>45</v>
      </c>
      <c r="I29">
        <v>149.97</v>
      </c>
      <c r="J29">
        <v>4</v>
      </c>
      <c r="K29">
        <v>29.99</v>
      </c>
      <c r="L29">
        <v>629.87</v>
      </c>
      <c r="M29">
        <v>437.94</v>
      </c>
      <c r="N29">
        <v>191.93</v>
      </c>
      <c r="O29">
        <v>30.47</v>
      </c>
      <c r="P29" t="s">
        <v>35</v>
      </c>
      <c r="Q29">
        <v>7.8</v>
      </c>
      <c r="R29" t="str">
        <f t="shared" si="0"/>
        <v>January</v>
      </c>
    </row>
    <row r="30" spans="1:18" x14ac:dyDescent="0.3">
      <c r="A30" t="s">
        <v>95</v>
      </c>
      <c r="B30">
        <v>46037</v>
      </c>
      <c r="C30" t="s">
        <v>96</v>
      </c>
      <c r="D30" t="s">
        <v>32</v>
      </c>
      <c r="E30" t="s">
        <v>32</v>
      </c>
      <c r="F30" t="s">
        <v>21</v>
      </c>
      <c r="G30" t="s">
        <v>27</v>
      </c>
      <c r="H30" t="s">
        <v>42</v>
      </c>
      <c r="I30">
        <v>263.77999999999997</v>
      </c>
      <c r="J30">
        <v>4</v>
      </c>
      <c r="K30">
        <v>52.76</v>
      </c>
      <c r="L30">
        <v>1107.8800000000001</v>
      </c>
      <c r="M30">
        <v>824.14</v>
      </c>
      <c r="N30">
        <v>283.74</v>
      </c>
      <c r="O30">
        <v>25.61</v>
      </c>
      <c r="P30" t="s">
        <v>35</v>
      </c>
      <c r="Q30">
        <v>6.2</v>
      </c>
      <c r="R30" t="str">
        <f t="shared" si="0"/>
        <v>January</v>
      </c>
    </row>
    <row r="31" spans="1:18" x14ac:dyDescent="0.3">
      <c r="A31" t="s">
        <v>97</v>
      </c>
      <c r="B31">
        <v>46037</v>
      </c>
      <c r="C31" t="s">
        <v>98</v>
      </c>
      <c r="D31" t="s">
        <v>59</v>
      </c>
      <c r="E31" t="s">
        <v>59</v>
      </c>
      <c r="F31" t="s">
        <v>21</v>
      </c>
      <c r="G31" t="s">
        <v>27</v>
      </c>
      <c r="H31" t="s">
        <v>99</v>
      </c>
      <c r="I31">
        <v>76.540000000000006</v>
      </c>
      <c r="J31">
        <v>10</v>
      </c>
      <c r="K31">
        <v>38.270000000000003</v>
      </c>
      <c r="L31">
        <v>803.67</v>
      </c>
      <c r="M31">
        <v>619.19000000000005</v>
      </c>
      <c r="N31">
        <v>184.48</v>
      </c>
      <c r="O31">
        <v>22.95</v>
      </c>
      <c r="P31" t="s">
        <v>46</v>
      </c>
      <c r="Q31">
        <v>7</v>
      </c>
      <c r="R31" t="str">
        <f t="shared" si="0"/>
        <v>January</v>
      </c>
    </row>
    <row r="32" spans="1:18" x14ac:dyDescent="0.3">
      <c r="A32" t="s">
        <v>100</v>
      </c>
      <c r="B32">
        <v>46037</v>
      </c>
      <c r="C32" t="s">
        <v>101</v>
      </c>
      <c r="D32" t="s">
        <v>59</v>
      </c>
      <c r="E32" t="s">
        <v>59</v>
      </c>
      <c r="F32" t="s">
        <v>33</v>
      </c>
      <c r="G32" t="s">
        <v>22</v>
      </c>
      <c r="H32" t="s">
        <v>45</v>
      </c>
      <c r="I32">
        <v>298.25</v>
      </c>
      <c r="J32">
        <v>3</v>
      </c>
      <c r="K32">
        <v>44.74</v>
      </c>
      <c r="L32">
        <v>939.49</v>
      </c>
      <c r="M32">
        <v>634.94000000000005</v>
      </c>
      <c r="N32">
        <v>304.55</v>
      </c>
      <c r="O32">
        <v>32.42</v>
      </c>
      <c r="P32" t="s">
        <v>46</v>
      </c>
      <c r="Q32">
        <v>9.6</v>
      </c>
      <c r="R32" t="str">
        <f t="shared" si="0"/>
        <v>January</v>
      </c>
    </row>
    <row r="33" spans="1:18" x14ac:dyDescent="0.3">
      <c r="A33" t="s">
        <v>102</v>
      </c>
      <c r="B33">
        <v>46038</v>
      </c>
      <c r="C33" t="s">
        <v>103</v>
      </c>
      <c r="D33" t="s">
        <v>41</v>
      </c>
      <c r="E33" t="s">
        <v>20</v>
      </c>
      <c r="F33" t="s">
        <v>21</v>
      </c>
      <c r="G33" t="s">
        <v>27</v>
      </c>
      <c r="H33" t="s">
        <v>45</v>
      </c>
      <c r="I33">
        <v>221.55</v>
      </c>
      <c r="J33">
        <v>6</v>
      </c>
      <c r="K33">
        <v>66.47</v>
      </c>
      <c r="L33">
        <v>1395.77</v>
      </c>
      <c r="M33">
        <v>997.76</v>
      </c>
      <c r="N33">
        <v>398.01</v>
      </c>
      <c r="O33">
        <v>28.52</v>
      </c>
      <c r="P33" t="s">
        <v>35</v>
      </c>
      <c r="Q33">
        <v>9.5</v>
      </c>
      <c r="R33" t="str">
        <f t="shared" si="0"/>
        <v>January</v>
      </c>
    </row>
    <row r="34" spans="1:18" x14ac:dyDescent="0.3">
      <c r="A34" t="s">
        <v>104</v>
      </c>
      <c r="B34">
        <v>46038</v>
      </c>
      <c r="C34" t="s">
        <v>105</v>
      </c>
      <c r="D34" t="s">
        <v>51</v>
      </c>
      <c r="E34" t="s">
        <v>51</v>
      </c>
      <c r="F34" t="s">
        <v>21</v>
      </c>
      <c r="G34" t="s">
        <v>22</v>
      </c>
      <c r="H34" t="s">
        <v>45</v>
      </c>
      <c r="I34">
        <v>162.4</v>
      </c>
      <c r="J34">
        <v>5</v>
      </c>
      <c r="K34">
        <v>40.6</v>
      </c>
      <c r="L34">
        <v>852.6</v>
      </c>
      <c r="M34">
        <v>598.69000000000005</v>
      </c>
      <c r="N34">
        <v>253.91</v>
      </c>
      <c r="O34">
        <v>29.78</v>
      </c>
      <c r="P34" t="s">
        <v>46</v>
      </c>
      <c r="Q34">
        <v>5.4</v>
      </c>
      <c r="R34" t="str">
        <f t="shared" si="0"/>
        <v>January</v>
      </c>
    </row>
    <row r="35" spans="1:18" x14ac:dyDescent="0.3">
      <c r="A35" t="s">
        <v>106</v>
      </c>
      <c r="B35">
        <v>46038</v>
      </c>
      <c r="C35" t="s">
        <v>107</v>
      </c>
      <c r="D35" t="s">
        <v>59</v>
      </c>
      <c r="E35" t="s">
        <v>59</v>
      </c>
      <c r="F35" t="s">
        <v>33</v>
      </c>
      <c r="G35" t="s">
        <v>22</v>
      </c>
      <c r="H35" t="s">
        <v>23</v>
      </c>
      <c r="I35">
        <v>77.819999999999993</v>
      </c>
      <c r="J35">
        <v>6</v>
      </c>
      <c r="K35">
        <v>23.35</v>
      </c>
      <c r="L35">
        <v>490.27</v>
      </c>
      <c r="M35">
        <v>403.34</v>
      </c>
      <c r="N35">
        <v>86.93</v>
      </c>
      <c r="O35">
        <v>17.73</v>
      </c>
      <c r="P35" t="s">
        <v>46</v>
      </c>
      <c r="Q35">
        <v>7.4</v>
      </c>
      <c r="R35" t="str">
        <f t="shared" si="0"/>
        <v>January</v>
      </c>
    </row>
    <row r="36" spans="1:18" x14ac:dyDescent="0.3">
      <c r="A36" t="s">
        <v>108</v>
      </c>
      <c r="B36">
        <v>46038</v>
      </c>
      <c r="C36" t="s">
        <v>109</v>
      </c>
      <c r="D36" t="s">
        <v>41</v>
      </c>
      <c r="E36" t="s">
        <v>20</v>
      </c>
      <c r="F36" t="s">
        <v>21</v>
      </c>
      <c r="G36" t="s">
        <v>22</v>
      </c>
      <c r="H36" t="s">
        <v>45</v>
      </c>
      <c r="I36">
        <v>157.59</v>
      </c>
      <c r="J36">
        <v>2</v>
      </c>
      <c r="K36">
        <v>15.76</v>
      </c>
      <c r="L36">
        <v>330.94</v>
      </c>
      <c r="M36">
        <v>262.39</v>
      </c>
      <c r="N36">
        <v>68.55</v>
      </c>
      <c r="O36">
        <v>20.71</v>
      </c>
      <c r="P36" t="s">
        <v>35</v>
      </c>
      <c r="Q36">
        <v>8.1</v>
      </c>
      <c r="R36" t="str">
        <f t="shared" si="0"/>
        <v>January</v>
      </c>
    </row>
    <row r="37" spans="1:18" x14ac:dyDescent="0.3">
      <c r="A37" t="s">
        <v>110</v>
      </c>
      <c r="B37">
        <v>46038</v>
      </c>
      <c r="C37" t="s">
        <v>61</v>
      </c>
      <c r="D37" t="s">
        <v>59</v>
      </c>
      <c r="E37" t="s">
        <v>59</v>
      </c>
      <c r="F37" t="s">
        <v>33</v>
      </c>
      <c r="G37" t="s">
        <v>22</v>
      </c>
      <c r="H37" t="s">
        <v>23</v>
      </c>
      <c r="I37">
        <v>142.88</v>
      </c>
      <c r="J37">
        <v>3</v>
      </c>
      <c r="K37">
        <v>21.43</v>
      </c>
      <c r="L37">
        <v>450.07</v>
      </c>
      <c r="M37">
        <v>347.11</v>
      </c>
      <c r="N37">
        <v>102.96</v>
      </c>
      <c r="O37">
        <v>22.88</v>
      </c>
      <c r="P37" t="s">
        <v>29</v>
      </c>
      <c r="Q37">
        <v>8.1999999999999993</v>
      </c>
      <c r="R37" t="str">
        <f t="shared" si="0"/>
        <v>January</v>
      </c>
    </row>
    <row r="38" spans="1:18" x14ac:dyDescent="0.3">
      <c r="A38" t="s">
        <v>111</v>
      </c>
      <c r="B38">
        <v>46039</v>
      </c>
      <c r="C38" t="s">
        <v>112</v>
      </c>
      <c r="D38" t="s">
        <v>59</v>
      </c>
      <c r="E38" t="s">
        <v>59</v>
      </c>
      <c r="F38" t="s">
        <v>33</v>
      </c>
      <c r="G38" t="s">
        <v>22</v>
      </c>
      <c r="H38" t="s">
        <v>34</v>
      </c>
      <c r="I38">
        <v>53.34</v>
      </c>
      <c r="J38">
        <v>1</v>
      </c>
      <c r="K38">
        <v>2.67</v>
      </c>
      <c r="L38">
        <v>56.01</v>
      </c>
      <c r="M38">
        <v>44.89</v>
      </c>
      <c r="N38">
        <v>11.12</v>
      </c>
      <c r="O38">
        <v>19.850000000000001</v>
      </c>
      <c r="P38" t="s">
        <v>29</v>
      </c>
      <c r="Q38">
        <v>7.4</v>
      </c>
      <c r="R38" t="str">
        <f t="shared" si="0"/>
        <v>January</v>
      </c>
    </row>
    <row r="39" spans="1:18" x14ac:dyDescent="0.3">
      <c r="A39" t="s">
        <v>113</v>
      </c>
      <c r="B39">
        <v>46040</v>
      </c>
      <c r="C39" t="s">
        <v>114</v>
      </c>
      <c r="D39" t="s">
        <v>59</v>
      </c>
      <c r="E39" t="s">
        <v>115</v>
      </c>
      <c r="F39" t="s">
        <v>21</v>
      </c>
      <c r="G39" t="s">
        <v>22</v>
      </c>
      <c r="H39" t="s">
        <v>99</v>
      </c>
      <c r="I39">
        <v>100.71</v>
      </c>
      <c r="J39">
        <v>10</v>
      </c>
      <c r="K39">
        <v>50.36</v>
      </c>
      <c r="L39">
        <v>1057.46</v>
      </c>
      <c r="M39">
        <v>847.52</v>
      </c>
      <c r="N39">
        <v>209.94</v>
      </c>
      <c r="O39">
        <v>19.850000000000001</v>
      </c>
      <c r="P39" t="s">
        <v>46</v>
      </c>
      <c r="Q39">
        <v>8.4</v>
      </c>
      <c r="R39" t="str">
        <f t="shared" si="0"/>
        <v>January</v>
      </c>
    </row>
    <row r="40" spans="1:18" x14ac:dyDescent="0.3">
      <c r="A40" t="s">
        <v>116</v>
      </c>
      <c r="B40">
        <v>46040</v>
      </c>
      <c r="C40" t="s">
        <v>44</v>
      </c>
      <c r="D40" t="s">
        <v>19</v>
      </c>
      <c r="E40" t="s">
        <v>20</v>
      </c>
      <c r="F40" t="s">
        <v>33</v>
      </c>
      <c r="G40" t="s">
        <v>27</v>
      </c>
      <c r="H40" t="s">
        <v>28</v>
      </c>
      <c r="I40">
        <v>95.43</v>
      </c>
      <c r="J40">
        <v>1</v>
      </c>
      <c r="K40">
        <v>4.7699999999999996</v>
      </c>
      <c r="L40">
        <v>100.2</v>
      </c>
      <c r="M40">
        <v>73.930000000000007</v>
      </c>
      <c r="N40">
        <v>26.27</v>
      </c>
      <c r="O40">
        <v>26.22</v>
      </c>
      <c r="P40" t="s">
        <v>29</v>
      </c>
      <c r="Q40">
        <v>6.7</v>
      </c>
      <c r="R40" t="str">
        <f t="shared" si="0"/>
        <v>January</v>
      </c>
    </row>
    <row r="41" spans="1:18" x14ac:dyDescent="0.3">
      <c r="A41" t="s">
        <v>117</v>
      </c>
      <c r="B41">
        <v>46040</v>
      </c>
      <c r="C41" t="s">
        <v>118</v>
      </c>
      <c r="D41" t="s">
        <v>41</v>
      </c>
      <c r="E41" t="s">
        <v>20</v>
      </c>
      <c r="F41" t="s">
        <v>33</v>
      </c>
      <c r="G41" t="s">
        <v>22</v>
      </c>
      <c r="H41" t="s">
        <v>99</v>
      </c>
      <c r="I41">
        <v>73.06</v>
      </c>
      <c r="J41">
        <v>2</v>
      </c>
      <c r="K41">
        <v>7.31</v>
      </c>
      <c r="L41">
        <v>153.43</v>
      </c>
      <c r="M41">
        <v>122.71</v>
      </c>
      <c r="N41">
        <v>30.72</v>
      </c>
      <c r="O41">
        <v>20.02</v>
      </c>
      <c r="P41" t="s">
        <v>35</v>
      </c>
      <c r="Q41">
        <v>10</v>
      </c>
      <c r="R41" t="str">
        <f t="shared" si="0"/>
        <v>January</v>
      </c>
    </row>
    <row r="42" spans="1:18" x14ac:dyDescent="0.3">
      <c r="A42" t="s">
        <v>119</v>
      </c>
      <c r="B42">
        <v>46040</v>
      </c>
      <c r="C42" t="s">
        <v>120</v>
      </c>
      <c r="D42" t="s">
        <v>41</v>
      </c>
      <c r="E42" t="s">
        <v>20</v>
      </c>
      <c r="F42" t="s">
        <v>33</v>
      </c>
      <c r="G42" t="s">
        <v>27</v>
      </c>
      <c r="H42" t="s">
        <v>28</v>
      </c>
      <c r="I42">
        <v>100.96</v>
      </c>
      <c r="J42">
        <v>1</v>
      </c>
      <c r="K42">
        <v>5.05</v>
      </c>
      <c r="L42">
        <v>106.01</v>
      </c>
      <c r="M42">
        <v>80.12</v>
      </c>
      <c r="N42">
        <v>25.89</v>
      </c>
      <c r="O42">
        <v>24.42</v>
      </c>
      <c r="P42" t="s">
        <v>24</v>
      </c>
      <c r="Q42">
        <v>8</v>
      </c>
      <c r="R42" t="str">
        <f t="shared" si="0"/>
        <v>January</v>
      </c>
    </row>
    <row r="43" spans="1:18" x14ac:dyDescent="0.3">
      <c r="A43" t="s">
        <v>121</v>
      </c>
      <c r="B43">
        <v>46041</v>
      </c>
      <c r="C43" t="s">
        <v>103</v>
      </c>
      <c r="D43" t="s">
        <v>59</v>
      </c>
      <c r="E43" t="s">
        <v>59</v>
      </c>
      <c r="F43" t="s">
        <v>33</v>
      </c>
      <c r="G43" t="s">
        <v>22</v>
      </c>
      <c r="H43" t="s">
        <v>42</v>
      </c>
      <c r="I43">
        <v>313.22000000000003</v>
      </c>
      <c r="J43">
        <v>4</v>
      </c>
      <c r="K43">
        <v>62.64</v>
      </c>
      <c r="L43">
        <v>1315.52</v>
      </c>
      <c r="M43">
        <v>943.76</v>
      </c>
      <c r="N43">
        <v>371.76</v>
      </c>
      <c r="O43">
        <v>28.26</v>
      </c>
      <c r="P43" t="s">
        <v>35</v>
      </c>
      <c r="Q43">
        <v>6.8</v>
      </c>
      <c r="R43" t="str">
        <f t="shared" si="0"/>
        <v>January</v>
      </c>
    </row>
    <row r="44" spans="1:18" x14ac:dyDescent="0.3">
      <c r="A44" t="s">
        <v>122</v>
      </c>
      <c r="B44">
        <v>46041</v>
      </c>
      <c r="C44" t="s">
        <v>123</v>
      </c>
      <c r="D44" t="s">
        <v>51</v>
      </c>
      <c r="E44" t="s">
        <v>51</v>
      </c>
      <c r="F44" t="s">
        <v>21</v>
      </c>
      <c r="G44" t="s">
        <v>27</v>
      </c>
      <c r="H44" t="s">
        <v>23</v>
      </c>
      <c r="I44">
        <v>97.86</v>
      </c>
      <c r="J44">
        <v>3</v>
      </c>
      <c r="K44">
        <v>14.68</v>
      </c>
      <c r="L44">
        <v>308.26</v>
      </c>
      <c r="M44">
        <v>255.18</v>
      </c>
      <c r="N44">
        <v>53.08</v>
      </c>
      <c r="O44">
        <v>17.22</v>
      </c>
      <c r="P44" t="s">
        <v>35</v>
      </c>
      <c r="Q44">
        <v>8</v>
      </c>
      <c r="R44" t="str">
        <f t="shared" si="0"/>
        <v>January</v>
      </c>
    </row>
    <row r="45" spans="1:18" x14ac:dyDescent="0.3">
      <c r="A45" t="s">
        <v>124</v>
      </c>
      <c r="B45">
        <v>46041</v>
      </c>
      <c r="C45" t="s">
        <v>125</v>
      </c>
      <c r="D45" t="s">
        <v>59</v>
      </c>
      <c r="E45" t="s">
        <v>59</v>
      </c>
      <c r="F45" t="s">
        <v>21</v>
      </c>
      <c r="G45" t="s">
        <v>27</v>
      </c>
      <c r="H45" t="s">
        <v>99</v>
      </c>
      <c r="I45">
        <v>66.16</v>
      </c>
      <c r="J45">
        <v>5</v>
      </c>
      <c r="K45">
        <v>16.54</v>
      </c>
      <c r="L45">
        <v>347.34</v>
      </c>
      <c r="M45">
        <v>290.61</v>
      </c>
      <c r="N45">
        <v>56.73</v>
      </c>
      <c r="O45">
        <v>16.329999999999998</v>
      </c>
      <c r="P45" t="s">
        <v>29</v>
      </c>
      <c r="Q45">
        <v>6.6</v>
      </c>
      <c r="R45" t="str">
        <f t="shared" si="0"/>
        <v>January</v>
      </c>
    </row>
    <row r="46" spans="1:18" x14ac:dyDescent="0.3">
      <c r="A46" t="s">
        <v>126</v>
      </c>
      <c r="B46">
        <v>46043</v>
      </c>
      <c r="C46" t="s">
        <v>127</v>
      </c>
      <c r="D46" t="s">
        <v>51</v>
      </c>
      <c r="E46" t="s">
        <v>51</v>
      </c>
      <c r="F46" t="s">
        <v>33</v>
      </c>
      <c r="G46" t="s">
        <v>27</v>
      </c>
      <c r="H46" t="s">
        <v>52</v>
      </c>
      <c r="I46">
        <v>55.08</v>
      </c>
      <c r="J46">
        <v>10</v>
      </c>
      <c r="K46">
        <v>27.54</v>
      </c>
      <c r="L46">
        <v>578.34</v>
      </c>
      <c r="M46">
        <v>387.59</v>
      </c>
      <c r="N46">
        <v>190.75</v>
      </c>
      <c r="O46">
        <v>32.979999999999997</v>
      </c>
      <c r="P46" t="s">
        <v>35</v>
      </c>
      <c r="Q46">
        <v>6.9</v>
      </c>
      <c r="R46" t="str">
        <f t="shared" si="0"/>
        <v>January</v>
      </c>
    </row>
    <row r="47" spans="1:18" x14ac:dyDescent="0.3">
      <c r="A47" t="s">
        <v>128</v>
      </c>
      <c r="B47">
        <v>46043</v>
      </c>
      <c r="C47" t="s">
        <v>129</v>
      </c>
      <c r="D47" t="s">
        <v>19</v>
      </c>
      <c r="E47" t="s">
        <v>20</v>
      </c>
      <c r="F47" t="s">
        <v>21</v>
      </c>
      <c r="G47" t="s">
        <v>22</v>
      </c>
      <c r="H47" t="s">
        <v>52</v>
      </c>
      <c r="I47">
        <v>109.51</v>
      </c>
      <c r="J47">
        <v>1</v>
      </c>
      <c r="K47">
        <v>5.48</v>
      </c>
      <c r="L47">
        <v>114.99</v>
      </c>
      <c r="M47">
        <v>83.97</v>
      </c>
      <c r="N47">
        <v>31.02</v>
      </c>
      <c r="O47">
        <v>26.98</v>
      </c>
      <c r="P47" t="s">
        <v>29</v>
      </c>
      <c r="Q47">
        <v>6.1</v>
      </c>
      <c r="R47" t="str">
        <f t="shared" si="0"/>
        <v>January</v>
      </c>
    </row>
    <row r="48" spans="1:18" x14ac:dyDescent="0.3">
      <c r="A48" t="s">
        <v>130</v>
      </c>
      <c r="B48">
        <v>46044</v>
      </c>
      <c r="C48" t="s">
        <v>131</v>
      </c>
      <c r="D48" t="s">
        <v>32</v>
      </c>
      <c r="E48" t="s">
        <v>32</v>
      </c>
      <c r="F48" t="s">
        <v>21</v>
      </c>
      <c r="G48" t="s">
        <v>27</v>
      </c>
      <c r="H48" t="s">
        <v>42</v>
      </c>
      <c r="I48">
        <v>209.96</v>
      </c>
      <c r="J48">
        <v>2</v>
      </c>
      <c r="K48">
        <v>21</v>
      </c>
      <c r="L48">
        <v>440.92</v>
      </c>
      <c r="M48">
        <v>313.20999999999998</v>
      </c>
      <c r="N48">
        <v>127.71</v>
      </c>
      <c r="O48">
        <v>28.96</v>
      </c>
      <c r="P48" t="s">
        <v>46</v>
      </c>
      <c r="Q48">
        <v>9.6999999999999993</v>
      </c>
      <c r="R48" t="str">
        <f t="shared" si="0"/>
        <v>January</v>
      </c>
    </row>
    <row r="49" spans="1:18" x14ac:dyDescent="0.3">
      <c r="A49" t="s">
        <v>132</v>
      </c>
      <c r="B49">
        <v>46044</v>
      </c>
      <c r="C49" t="s">
        <v>133</v>
      </c>
      <c r="D49" t="s">
        <v>51</v>
      </c>
      <c r="E49" t="s">
        <v>51</v>
      </c>
      <c r="F49" t="s">
        <v>21</v>
      </c>
      <c r="G49" t="s">
        <v>22</v>
      </c>
      <c r="H49" t="s">
        <v>42</v>
      </c>
      <c r="I49">
        <v>385.28</v>
      </c>
      <c r="J49">
        <v>10</v>
      </c>
      <c r="K49">
        <v>192.64</v>
      </c>
      <c r="L49">
        <v>4045.44</v>
      </c>
      <c r="M49">
        <v>3235.46</v>
      </c>
      <c r="N49">
        <v>809.98</v>
      </c>
      <c r="O49">
        <v>20.02</v>
      </c>
      <c r="P49" t="s">
        <v>35</v>
      </c>
      <c r="Q49">
        <v>8</v>
      </c>
      <c r="R49" t="str">
        <f t="shared" si="0"/>
        <v>January</v>
      </c>
    </row>
    <row r="50" spans="1:18" x14ac:dyDescent="0.3">
      <c r="A50" t="s">
        <v>134</v>
      </c>
      <c r="B50">
        <v>46044</v>
      </c>
      <c r="C50" t="s">
        <v>135</v>
      </c>
      <c r="D50" t="s">
        <v>19</v>
      </c>
      <c r="E50" t="s">
        <v>20</v>
      </c>
      <c r="F50" t="s">
        <v>33</v>
      </c>
      <c r="G50" t="s">
        <v>22</v>
      </c>
      <c r="H50" t="s">
        <v>42</v>
      </c>
      <c r="I50">
        <v>350.77</v>
      </c>
      <c r="J50">
        <v>5</v>
      </c>
      <c r="K50">
        <v>87.69</v>
      </c>
      <c r="L50">
        <v>1841.54</v>
      </c>
      <c r="M50">
        <v>1467.07</v>
      </c>
      <c r="N50">
        <v>374.47</v>
      </c>
      <c r="O50">
        <v>20.329999999999998</v>
      </c>
      <c r="P50" t="s">
        <v>29</v>
      </c>
      <c r="Q50">
        <v>7</v>
      </c>
      <c r="R50" t="str">
        <f t="shared" si="0"/>
        <v>January</v>
      </c>
    </row>
    <row r="51" spans="1:18" x14ac:dyDescent="0.3">
      <c r="A51" t="s">
        <v>136</v>
      </c>
      <c r="B51">
        <v>46045</v>
      </c>
      <c r="C51" t="s">
        <v>137</v>
      </c>
      <c r="D51" t="s">
        <v>51</v>
      </c>
      <c r="E51" t="s">
        <v>51</v>
      </c>
      <c r="F51" t="s">
        <v>33</v>
      </c>
      <c r="G51" t="s">
        <v>22</v>
      </c>
      <c r="H51" t="s">
        <v>34</v>
      </c>
      <c r="I51">
        <v>89.77</v>
      </c>
      <c r="J51">
        <v>5</v>
      </c>
      <c r="K51">
        <v>22.44</v>
      </c>
      <c r="L51">
        <v>471.29</v>
      </c>
      <c r="M51">
        <v>380.92</v>
      </c>
      <c r="N51">
        <v>90.37</v>
      </c>
      <c r="O51">
        <v>19.18</v>
      </c>
      <c r="P51" t="s">
        <v>35</v>
      </c>
      <c r="Q51">
        <v>7.1</v>
      </c>
      <c r="R51" t="str">
        <f t="shared" si="0"/>
        <v>January</v>
      </c>
    </row>
    <row r="52" spans="1:18" x14ac:dyDescent="0.3">
      <c r="A52" t="s">
        <v>138</v>
      </c>
      <c r="B52">
        <v>46046</v>
      </c>
      <c r="C52" t="s">
        <v>139</v>
      </c>
      <c r="D52" t="s">
        <v>59</v>
      </c>
      <c r="E52" t="s">
        <v>59</v>
      </c>
      <c r="F52" t="s">
        <v>33</v>
      </c>
      <c r="G52" t="s">
        <v>22</v>
      </c>
      <c r="H52" t="s">
        <v>28</v>
      </c>
      <c r="I52">
        <v>166.93</v>
      </c>
      <c r="J52">
        <v>2</v>
      </c>
      <c r="K52">
        <v>16.690000000000001</v>
      </c>
      <c r="L52">
        <v>350.55</v>
      </c>
      <c r="M52">
        <v>281.86</v>
      </c>
      <c r="N52">
        <v>68.69</v>
      </c>
      <c r="O52">
        <v>19.59</v>
      </c>
      <c r="P52" t="s">
        <v>35</v>
      </c>
      <c r="Q52">
        <v>8.8000000000000007</v>
      </c>
      <c r="R52" t="str">
        <f t="shared" si="0"/>
        <v>January</v>
      </c>
    </row>
    <row r="53" spans="1:18" x14ac:dyDescent="0.3">
      <c r="A53" t="s">
        <v>140</v>
      </c>
      <c r="B53">
        <v>46047</v>
      </c>
      <c r="C53" t="s">
        <v>141</v>
      </c>
      <c r="D53" t="s">
        <v>19</v>
      </c>
      <c r="E53" t="s">
        <v>20</v>
      </c>
      <c r="F53" t="s">
        <v>33</v>
      </c>
      <c r="G53" t="s">
        <v>27</v>
      </c>
      <c r="H53" t="s">
        <v>28</v>
      </c>
      <c r="I53">
        <v>146.03</v>
      </c>
      <c r="J53">
        <v>9</v>
      </c>
      <c r="K53">
        <v>65.709999999999994</v>
      </c>
      <c r="L53">
        <v>1379.98</v>
      </c>
      <c r="M53">
        <v>972.48</v>
      </c>
      <c r="N53">
        <v>407.5</v>
      </c>
      <c r="O53">
        <v>29.53</v>
      </c>
      <c r="P53" t="s">
        <v>46</v>
      </c>
      <c r="Q53">
        <v>8.1</v>
      </c>
      <c r="R53" t="str">
        <f t="shared" si="0"/>
        <v>January</v>
      </c>
    </row>
    <row r="54" spans="1:18" x14ac:dyDescent="0.3">
      <c r="A54" t="s">
        <v>142</v>
      </c>
      <c r="B54">
        <v>46047</v>
      </c>
      <c r="C54" t="s">
        <v>143</v>
      </c>
      <c r="D54" t="s">
        <v>41</v>
      </c>
      <c r="E54" t="s">
        <v>20</v>
      </c>
      <c r="F54" t="s">
        <v>33</v>
      </c>
      <c r="G54" t="s">
        <v>27</v>
      </c>
      <c r="H54" t="s">
        <v>52</v>
      </c>
      <c r="I54">
        <v>112.42</v>
      </c>
      <c r="J54">
        <v>10</v>
      </c>
      <c r="K54">
        <v>56.21</v>
      </c>
      <c r="L54">
        <v>1180.4100000000001</v>
      </c>
      <c r="M54">
        <v>799.72</v>
      </c>
      <c r="N54">
        <v>380.69</v>
      </c>
      <c r="O54">
        <v>32.25</v>
      </c>
      <c r="P54" t="s">
        <v>35</v>
      </c>
      <c r="Q54">
        <v>6.6</v>
      </c>
      <c r="R54" t="str">
        <f t="shared" si="0"/>
        <v>January</v>
      </c>
    </row>
    <row r="55" spans="1:18" x14ac:dyDescent="0.3">
      <c r="A55" t="s">
        <v>144</v>
      </c>
      <c r="B55">
        <v>46047</v>
      </c>
      <c r="C55" t="s">
        <v>145</v>
      </c>
      <c r="D55" t="s">
        <v>59</v>
      </c>
      <c r="E55" t="s">
        <v>59</v>
      </c>
      <c r="F55" t="s">
        <v>21</v>
      </c>
      <c r="G55" t="s">
        <v>27</v>
      </c>
      <c r="H55" t="s">
        <v>34</v>
      </c>
      <c r="I55">
        <v>53.03</v>
      </c>
      <c r="J55">
        <v>5</v>
      </c>
      <c r="K55">
        <v>13.26</v>
      </c>
      <c r="L55">
        <v>278.41000000000003</v>
      </c>
      <c r="M55">
        <v>231.48</v>
      </c>
      <c r="N55">
        <v>46.93</v>
      </c>
      <c r="O55">
        <v>16.86</v>
      </c>
      <c r="P55" t="s">
        <v>29</v>
      </c>
      <c r="Q55">
        <v>7.7</v>
      </c>
      <c r="R55" t="str">
        <f t="shared" si="0"/>
        <v>January</v>
      </c>
    </row>
    <row r="56" spans="1:18" x14ac:dyDescent="0.3">
      <c r="A56" t="s">
        <v>146</v>
      </c>
      <c r="B56">
        <v>46047</v>
      </c>
      <c r="C56" t="s">
        <v>147</v>
      </c>
      <c r="D56" t="s">
        <v>51</v>
      </c>
      <c r="E56" t="s">
        <v>51</v>
      </c>
      <c r="F56" t="s">
        <v>33</v>
      </c>
      <c r="G56" t="s">
        <v>22</v>
      </c>
      <c r="H56" t="s">
        <v>99</v>
      </c>
      <c r="I56">
        <v>97.64</v>
      </c>
      <c r="J56">
        <v>6</v>
      </c>
      <c r="K56">
        <v>29.29</v>
      </c>
      <c r="L56">
        <v>615.13</v>
      </c>
      <c r="M56">
        <v>426.54</v>
      </c>
      <c r="N56">
        <v>188.59</v>
      </c>
      <c r="O56">
        <v>30.66</v>
      </c>
      <c r="P56" t="s">
        <v>29</v>
      </c>
      <c r="Q56">
        <v>9.3000000000000007</v>
      </c>
      <c r="R56" t="str">
        <f t="shared" si="0"/>
        <v>January</v>
      </c>
    </row>
    <row r="57" spans="1:18" x14ac:dyDescent="0.3">
      <c r="A57" t="s">
        <v>148</v>
      </c>
      <c r="B57">
        <v>46047</v>
      </c>
      <c r="C57" t="s">
        <v>149</v>
      </c>
      <c r="D57" t="s">
        <v>41</v>
      </c>
      <c r="E57" t="s">
        <v>20</v>
      </c>
      <c r="F57" t="s">
        <v>21</v>
      </c>
      <c r="G57" t="s">
        <v>27</v>
      </c>
      <c r="H57" t="s">
        <v>52</v>
      </c>
      <c r="I57">
        <v>114.46</v>
      </c>
      <c r="J57">
        <v>6</v>
      </c>
      <c r="K57">
        <v>34.340000000000003</v>
      </c>
      <c r="L57">
        <v>721.1</v>
      </c>
      <c r="M57">
        <v>543.79</v>
      </c>
      <c r="N57">
        <v>177.31</v>
      </c>
      <c r="O57">
        <v>24.59</v>
      </c>
      <c r="P57" t="s">
        <v>46</v>
      </c>
      <c r="Q57">
        <v>8.1999999999999993</v>
      </c>
      <c r="R57" t="str">
        <f t="shared" si="0"/>
        <v>January</v>
      </c>
    </row>
    <row r="58" spans="1:18" x14ac:dyDescent="0.3">
      <c r="A58" t="s">
        <v>150</v>
      </c>
      <c r="B58">
        <v>46048</v>
      </c>
      <c r="C58" t="s">
        <v>151</v>
      </c>
      <c r="D58" t="s">
        <v>51</v>
      </c>
      <c r="E58" t="s">
        <v>51</v>
      </c>
      <c r="F58" t="s">
        <v>21</v>
      </c>
      <c r="G58" t="s">
        <v>27</v>
      </c>
      <c r="H58" t="s">
        <v>99</v>
      </c>
      <c r="I58">
        <v>108.38</v>
      </c>
      <c r="J58">
        <v>8</v>
      </c>
      <c r="K58">
        <v>43.35</v>
      </c>
      <c r="L58">
        <v>910.39</v>
      </c>
      <c r="M58">
        <v>712.45</v>
      </c>
      <c r="N58">
        <v>197.94</v>
      </c>
      <c r="O58">
        <v>21.74</v>
      </c>
      <c r="P58" t="s">
        <v>46</v>
      </c>
      <c r="Q58">
        <v>8.6999999999999993</v>
      </c>
      <c r="R58" t="str">
        <f t="shared" si="0"/>
        <v>January</v>
      </c>
    </row>
    <row r="59" spans="1:18" x14ac:dyDescent="0.3">
      <c r="A59" t="s">
        <v>152</v>
      </c>
      <c r="B59">
        <v>46048</v>
      </c>
      <c r="C59" t="s">
        <v>153</v>
      </c>
      <c r="D59" t="s">
        <v>19</v>
      </c>
      <c r="E59" t="s">
        <v>20</v>
      </c>
      <c r="F59" t="s">
        <v>33</v>
      </c>
      <c r="G59" t="s">
        <v>27</v>
      </c>
      <c r="H59" t="s">
        <v>23</v>
      </c>
      <c r="I59">
        <v>115.21</v>
      </c>
      <c r="J59">
        <v>6</v>
      </c>
      <c r="K59">
        <v>34.56</v>
      </c>
      <c r="L59">
        <v>725.82</v>
      </c>
      <c r="M59">
        <v>571.30999999999995</v>
      </c>
      <c r="N59">
        <v>154.51</v>
      </c>
      <c r="O59">
        <v>21.29</v>
      </c>
      <c r="P59" t="s">
        <v>29</v>
      </c>
      <c r="Q59">
        <v>7.3</v>
      </c>
      <c r="R59" t="str">
        <f t="shared" si="0"/>
        <v>January</v>
      </c>
    </row>
    <row r="60" spans="1:18" x14ac:dyDescent="0.3">
      <c r="A60" t="s">
        <v>154</v>
      </c>
      <c r="B60">
        <v>46049</v>
      </c>
      <c r="C60" t="s">
        <v>155</v>
      </c>
      <c r="D60" t="s">
        <v>41</v>
      </c>
      <c r="E60" t="s">
        <v>20</v>
      </c>
      <c r="F60" t="s">
        <v>21</v>
      </c>
      <c r="G60" t="s">
        <v>22</v>
      </c>
      <c r="H60" t="s">
        <v>99</v>
      </c>
      <c r="I60">
        <v>69.67</v>
      </c>
      <c r="J60">
        <v>6</v>
      </c>
      <c r="K60">
        <v>20.9</v>
      </c>
      <c r="L60">
        <v>438.92</v>
      </c>
      <c r="M60">
        <v>337.67</v>
      </c>
      <c r="N60">
        <v>101.25</v>
      </c>
      <c r="O60">
        <v>23.07</v>
      </c>
      <c r="P60" t="s">
        <v>35</v>
      </c>
      <c r="Q60">
        <v>6.6</v>
      </c>
      <c r="R60" t="str">
        <f t="shared" si="0"/>
        <v>January</v>
      </c>
    </row>
    <row r="61" spans="1:18" x14ac:dyDescent="0.3">
      <c r="A61" t="s">
        <v>156</v>
      </c>
      <c r="B61">
        <v>46050</v>
      </c>
      <c r="C61" t="s">
        <v>157</v>
      </c>
      <c r="D61" t="s">
        <v>32</v>
      </c>
      <c r="E61" t="s">
        <v>32</v>
      </c>
      <c r="F61" t="s">
        <v>21</v>
      </c>
      <c r="G61" t="s">
        <v>22</v>
      </c>
      <c r="H61" t="s">
        <v>72</v>
      </c>
      <c r="I61">
        <v>207.38</v>
      </c>
      <c r="J61">
        <v>9</v>
      </c>
      <c r="K61">
        <v>93.32</v>
      </c>
      <c r="L61">
        <v>1959.74</v>
      </c>
      <c r="M61">
        <v>1566.41</v>
      </c>
      <c r="N61">
        <v>393.33</v>
      </c>
      <c r="O61">
        <v>20.07</v>
      </c>
      <c r="P61" t="s">
        <v>35</v>
      </c>
      <c r="Q61">
        <v>7.4</v>
      </c>
      <c r="R61" t="str">
        <f t="shared" si="0"/>
        <v>January</v>
      </c>
    </row>
    <row r="62" spans="1:18" x14ac:dyDescent="0.3">
      <c r="A62" t="s">
        <v>158</v>
      </c>
      <c r="B62">
        <v>46050</v>
      </c>
      <c r="C62" t="s">
        <v>159</v>
      </c>
      <c r="D62" t="s">
        <v>19</v>
      </c>
      <c r="E62" t="s">
        <v>20</v>
      </c>
      <c r="F62" t="s">
        <v>21</v>
      </c>
      <c r="G62" t="s">
        <v>22</v>
      </c>
      <c r="H62" t="s">
        <v>42</v>
      </c>
      <c r="I62">
        <v>279.94</v>
      </c>
      <c r="J62">
        <v>9</v>
      </c>
      <c r="K62">
        <v>125.97</v>
      </c>
      <c r="L62">
        <v>2645.43</v>
      </c>
      <c r="M62">
        <v>2055.79</v>
      </c>
      <c r="N62">
        <v>589.64</v>
      </c>
      <c r="O62">
        <v>22.29</v>
      </c>
      <c r="P62" t="s">
        <v>46</v>
      </c>
      <c r="Q62">
        <v>7</v>
      </c>
      <c r="R62" t="str">
        <f t="shared" si="0"/>
        <v>January</v>
      </c>
    </row>
    <row r="63" spans="1:18" x14ac:dyDescent="0.3">
      <c r="A63" t="s">
        <v>160</v>
      </c>
      <c r="B63">
        <v>46050</v>
      </c>
      <c r="C63" t="s">
        <v>161</v>
      </c>
      <c r="D63" t="s">
        <v>32</v>
      </c>
      <c r="E63" t="s">
        <v>32</v>
      </c>
      <c r="F63" t="s">
        <v>21</v>
      </c>
      <c r="G63" t="s">
        <v>22</v>
      </c>
      <c r="H63" t="s">
        <v>42</v>
      </c>
      <c r="I63">
        <v>382.75</v>
      </c>
      <c r="J63">
        <v>1</v>
      </c>
      <c r="K63">
        <v>19.14</v>
      </c>
      <c r="L63">
        <v>401.89</v>
      </c>
      <c r="M63">
        <v>311.95</v>
      </c>
      <c r="N63">
        <v>89.94</v>
      </c>
      <c r="O63">
        <v>22.38</v>
      </c>
      <c r="P63" t="s">
        <v>29</v>
      </c>
      <c r="Q63">
        <v>5.5</v>
      </c>
      <c r="R63" t="str">
        <f t="shared" si="0"/>
        <v>January</v>
      </c>
    </row>
    <row r="64" spans="1:18" x14ac:dyDescent="0.3">
      <c r="A64" t="s">
        <v>162</v>
      </c>
      <c r="B64">
        <v>46050</v>
      </c>
      <c r="C64" t="s">
        <v>163</v>
      </c>
      <c r="D64" t="s">
        <v>19</v>
      </c>
      <c r="E64" t="s">
        <v>20</v>
      </c>
      <c r="F64" t="s">
        <v>21</v>
      </c>
      <c r="G64" t="s">
        <v>22</v>
      </c>
      <c r="H64" t="s">
        <v>42</v>
      </c>
      <c r="I64">
        <v>425.69</v>
      </c>
      <c r="J64">
        <v>2</v>
      </c>
      <c r="K64">
        <v>42.57</v>
      </c>
      <c r="L64">
        <v>893.95</v>
      </c>
      <c r="M64">
        <v>723.06</v>
      </c>
      <c r="N64">
        <v>170.89</v>
      </c>
      <c r="O64">
        <v>19.12</v>
      </c>
      <c r="P64" t="s">
        <v>46</v>
      </c>
      <c r="Q64">
        <v>6.3</v>
      </c>
      <c r="R64" t="str">
        <f t="shared" si="0"/>
        <v>January</v>
      </c>
    </row>
    <row r="65" spans="1:18" x14ac:dyDescent="0.3">
      <c r="A65" t="s">
        <v>164</v>
      </c>
      <c r="B65">
        <v>46051</v>
      </c>
      <c r="C65" t="s">
        <v>165</v>
      </c>
      <c r="D65" t="s">
        <v>41</v>
      </c>
      <c r="E65" t="s">
        <v>20</v>
      </c>
      <c r="F65" t="s">
        <v>33</v>
      </c>
      <c r="G65" t="s">
        <v>22</v>
      </c>
      <c r="H65" t="s">
        <v>28</v>
      </c>
      <c r="I65">
        <v>137.06</v>
      </c>
      <c r="J65">
        <v>6</v>
      </c>
      <c r="K65">
        <v>41.12</v>
      </c>
      <c r="L65">
        <v>863.48</v>
      </c>
      <c r="M65">
        <v>669.59</v>
      </c>
      <c r="N65">
        <v>193.89</v>
      </c>
      <c r="O65">
        <v>22.45</v>
      </c>
      <c r="P65" t="s">
        <v>46</v>
      </c>
      <c r="Q65">
        <v>8.9</v>
      </c>
      <c r="R65" t="str">
        <f t="shared" si="0"/>
        <v>January</v>
      </c>
    </row>
    <row r="66" spans="1:18" x14ac:dyDescent="0.3">
      <c r="A66" t="s">
        <v>166</v>
      </c>
      <c r="B66">
        <v>46051</v>
      </c>
      <c r="C66" t="s">
        <v>167</v>
      </c>
      <c r="D66" t="s">
        <v>51</v>
      </c>
      <c r="E66" t="s">
        <v>51</v>
      </c>
      <c r="F66" t="s">
        <v>21</v>
      </c>
      <c r="G66" t="s">
        <v>22</v>
      </c>
      <c r="H66" t="s">
        <v>45</v>
      </c>
      <c r="I66">
        <v>201.05</v>
      </c>
      <c r="J66">
        <v>10</v>
      </c>
      <c r="K66">
        <v>100.52</v>
      </c>
      <c r="L66">
        <v>2111.02</v>
      </c>
      <c r="M66">
        <v>1627.53</v>
      </c>
      <c r="N66">
        <v>483.49</v>
      </c>
      <c r="O66">
        <v>22.9</v>
      </c>
      <c r="P66" t="s">
        <v>24</v>
      </c>
      <c r="Q66">
        <v>6.2</v>
      </c>
      <c r="R66" t="str">
        <f t="shared" si="0"/>
        <v>January</v>
      </c>
    </row>
    <row r="67" spans="1:18" x14ac:dyDescent="0.3">
      <c r="A67" t="s">
        <v>168</v>
      </c>
      <c r="B67">
        <v>46052</v>
      </c>
      <c r="C67" t="s">
        <v>169</v>
      </c>
      <c r="D67" t="s">
        <v>59</v>
      </c>
      <c r="E67" t="s">
        <v>59</v>
      </c>
      <c r="F67" t="s">
        <v>21</v>
      </c>
      <c r="G67" t="s">
        <v>27</v>
      </c>
      <c r="H67" t="s">
        <v>52</v>
      </c>
      <c r="I67">
        <v>85.06</v>
      </c>
      <c r="J67">
        <v>5</v>
      </c>
      <c r="K67">
        <v>21.26</v>
      </c>
      <c r="L67">
        <v>446.56</v>
      </c>
      <c r="M67">
        <v>331.65</v>
      </c>
      <c r="N67">
        <v>114.91</v>
      </c>
      <c r="O67">
        <v>25.73</v>
      </c>
      <c r="P67" t="s">
        <v>29</v>
      </c>
      <c r="Q67">
        <v>6.1</v>
      </c>
      <c r="R67" t="str">
        <f t="shared" ref="R67:R130" si="1">TEXT(B67,"mmmm")</f>
        <v>January</v>
      </c>
    </row>
    <row r="68" spans="1:18" x14ac:dyDescent="0.3">
      <c r="A68" t="s">
        <v>170</v>
      </c>
      <c r="B68">
        <v>46052</v>
      </c>
      <c r="C68" t="s">
        <v>171</v>
      </c>
      <c r="D68" t="s">
        <v>32</v>
      </c>
      <c r="E68" t="s">
        <v>32</v>
      </c>
      <c r="F68" t="s">
        <v>21</v>
      </c>
      <c r="G68" t="s">
        <v>27</v>
      </c>
      <c r="H68" t="s">
        <v>34</v>
      </c>
      <c r="I68">
        <v>91.63</v>
      </c>
      <c r="J68">
        <v>9</v>
      </c>
      <c r="K68">
        <v>41.23</v>
      </c>
      <c r="L68">
        <v>865.9</v>
      </c>
      <c r="M68">
        <v>649.91</v>
      </c>
      <c r="N68">
        <v>215.99</v>
      </c>
      <c r="O68">
        <v>24.94</v>
      </c>
      <c r="P68" t="s">
        <v>29</v>
      </c>
      <c r="Q68">
        <v>7.9</v>
      </c>
      <c r="R68" t="str">
        <f t="shared" si="1"/>
        <v>January</v>
      </c>
    </row>
    <row r="69" spans="1:18" x14ac:dyDescent="0.3">
      <c r="A69" t="s">
        <v>172</v>
      </c>
      <c r="B69">
        <v>46052</v>
      </c>
      <c r="C69" t="s">
        <v>173</v>
      </c>
      <c r="D69" t="s">
        <v>32</v>
      </c>
      <c r="E69" t="s">
        <v>32</v>
      </c>
      <c r="F69" t="s">
        <v>33</v>
      </c>
      <c r="G69" t="s">
        <v>27</v>
      </c>
      <c r="H69" t="s">
        <v>34</v>
      </c>
      <c r="I69">
        <v>72.03</v>
      </c>
      <c r="J69">
        <v>10</v>
      </c>
      <c r="K69">
        <v>36.020000000000003</v>
      </c>
      <c r="L69">
        <v>756.32</v>
      </c>
      <c r="M69">
        <v>536.97</v>
      </c>
      <c r="N69">
        <v>219.35</v>
      </c>
      <c r="O69">
        <v>29</v>
      </c>
      <c r="P69" t="s">
        <v>46</v>
      </c>
      <c r="Q69">
        <v>6.7</v>
      </c>
      <c r="R69" t="str">
        <f t="shared" si="1"/>
        <v>January</v>
      </c>
    </row>
    <row r="70" spans="1:18" x14ac:dyDescent="0.3">
      <c r="A70" t="s">
        <v>174</v>
      </c>
      <c r="B70">
        <v>46053</v>
      </c>
      <c r="C70" t="s">
        <v>175</v>
      </c>
      <c r="D70" t="s">
        <v>19</v>
      </c>
      <c r="E70" t="s">
        <v>20</v>
      </c>
      <c r="F70" t="s">
        <v>21</v>
      </c>
      <c r="G70" t="s">
        <v>22</v>
      </c>
      <c r="H70" t="s">
        <v>23</v>
      </c>
      <c r="I70">
        <v>103.34</v>
      </c>
      <c r="J70">
        <v>6</v>
      </c>
      <c r="K70">
        <v>31</v>
      </c>
      <c r="L70">
        <v>651.04</v>
      </c>
      <c r="M70">
        <v>537.16</v>
      </c>
      <c r="N70">
        <v>113.88</v>
      </c>
      <c r="O70">
        <v>17.489999999999998</v>
      </c>
      <c r="P70" t="s">
        <v>24</v>
      </c>
      <c r="Q70">
        <v>5.8</v>
      </c>
      <c r="R70" t="str">
        <f t="shared" si="1"/>
        <v>January</v>
      </c>
    </row>
    <row r="71" spans="1:18" x14ac:dyDescent="0.3">
      <c r="A71" t="s">
        <v>176</v>
      </c>
      <c r="B71">
        <v>46053</v>
      </c>
      <c r="C71" t="s">
        <v>74</v>
      </c>
      <c r="D71" t="s">
        <v>32</v>
      </c>
      <c r="E71" t="s">
        <v>32</v>
      </c>
      <c r="F71" t="s">
        <v>33</v>
      </c>
      <c r="G71" t="s">
        <v>22</v>
      </c>
      <c r="H71" t="s">
        <v>42</v>
      </c>
      <c r="I71">
        <v>372.9</v>
      </c>
      <c r="J71">
        <v>6</v>
      </c>
      <c r="K71">
        <v>111.87</v>
      </c>
      <c r="L71">
        <v>2349.27</v>
      </c>
      <c r="M71">
        <v>1654.66</v>
      </c>
      <c r="N71">
        <v>694.61</v>
      </c>
      <c r="O71">
        <v>29.57</v>
      </c>
      <c r="P71" t="s">
        <v>46</v>
      </c>
      <c r="Q71">
        <v>7.1</v>
      </c>
      <c r="R71" t="str">
        <f t="shared" si="1"/>
        <v>January</v>
      </c>
    </row>
    <row r="72" spans="1:18" x14ac:dyDescent="0.3">
      <c r="A72" t="s">
        <v>177</v>
      </c>
      <c r="B72">
        <v>46053</v>
      </c>
      <c r="C72" t="s">
        <v>178</v>
      </c>
      <c r="D72" t="s">
        <v>59</v>
      </c>
      <c r="E72" t="s">
        <v>59</v>
      </c>
      <c r="F72" t="s">
        <v>21</v>
      </c>
      <c r="G72" t="s">
        <v>22</v>
      </c>
      <c r="H72" t="s">
        <v>72</v>
      </c>
      <c r="I72">
        <v>156.75</v>
      </c>
      <c r="J72">
        <v>8</v>
      </c>
      <c r="K72">
        <v>62.7</v>
      </c>
      <c r="L72">
        <v>1316.7</v>
      </c>
      <c r="M72">
        <v>954.01</v>
      </c>
      <c r="N72">
        <v>362.69</v>
      </c>
      <c r="O72">
        <v>27.55</v>
      </c>
      <c r="P72" t="s">
        <v>46</v>
      </c>
      <c r="Q72">
        <v>7.4</v>
      </c>
      <c r="R72" t="str">
        <f t="shared" si="1"/>
        <v>January</v>
      </c>
    </row>
    <row r="73" spans="1:18" x14ac:dyDescent="0.3">
      <c r="A73" t="s">
        <v>179</v>
      </c>
      <c r="B73">
        <v>46054</v>
      </c>
      <c r="C73" t="s">
        <v>178</v>
      </c>
      <c r="D73" t="s">
        <v>19</v>
      </c>
      <c r="E73" t="s">
        <v>20</v>
      </c>
      <c r="F73" t="s">
        <v>33</v>
      </c>
      <c r="G73" t="s">
        <v>22</v>
      </c>
      <c r="H73" t="s">
        <v>42</v>
      </c>
      <c r="I73">
        <v>306.43</v>
      </c>
      <c r="J73">
        <v>2</v>
      </c>
      <c r="K73">
        <v>30.64</v>
      </c>
      <c r="L73">
        <v>643.5</v>
      </c>
      <c r="M73">
        <v>451.19</v>
      </c>
      <c r="N73">
        <v>192.31</v>
      </c>
      <c r="O73">
        <v>29.89</v>
      </c>
      <c r="P73" t="s">
        <v>38</v>
      </c>
      <c r="Q73">
        <v>8.5</v>
      </c>
      <c r="R73" t="str">
        <f t="shared" si="1"/>
        <v>February</v>
      </c>
    </row>
    <row r="74" spans="1:18" x14ac:dyDescent="0.3">
      <c r="A74" t="s">
        <v>180</v>
      </c>
      <c r="B74">
        <v>46055</v>
      </c>
      <c r="C74" t="s">
        <v>181</v>
      </c>
      <c r="D74" t="s">
        <v>32</v>
      </c>
      <c r="E74" t="s">
        <v>32</v>
      </c>
      <c r="F74" t="s">
        <v>33</v>
      </c>
      <c r="G74" t="s">
        <v>22</v>
      </c>
      <c r="H74" t="s">
        <v>28</v>
      </c>
      <c r="I74">
        <v>189.51</v>
      </c>
      <c r="J74">
        <v>10</v>
      </c>
      <c r="K74">
        <v>94.76</v>
      </c>
      <c r="L74">
        <v>1989.86</v>
      </c>
      <c r="M74">
        <v>1579.21</v>
      </c>
      <c r="N74">
        <v>410.65</v>
      </c>
      <c r="O74">
        <v>20.64</v>
      </c>
      <c r="P74" t="s">
        <v>46</v>
      </c>
      <c r="Q74">
        <v>6.6</v>
      </c>
      <c r="R74" t="str">
        <f t="shared" si="1"/>
        <v>February</v>
      </c>
    </row>
    <row r="75" spans="1:18" x14ac:dyDescent="0.3">
      <c r="A75" t="s">
        <v>182</v>
      </c>
      <c r="B75">
        <v>46055</v>
      </c>
      <c r="C75" t="s">
        <v>183</v>
      </c>
      <c r="D75" t="s">
        <v>32</v>
      </c>
      <c r="E75" t="s">
        <v>32</v>
      </c>
      <c r="F75" t="s">
        <v>21</v>
      </c>
      <c r="G75" t="s">
        <v>27</v>
      </c>
      <c r="H75" t="s">
        <v>99</v>
      </c>
      <c r="I75">
        <v>84.19</v>
      </c>
      <c r="J75">
        <v>6</v>
      </c>
      <c r="K75">
        <v>25.26</v>
      </c>
      <c r="L75">
        <v>530.4</v>
      </c>
      <c r="M75">
        <v>411.03</v>
      </c>
      <c r="N75">
        <v>119.37</v>
      </c>
      <c r="O75">
        <v>22.51</v>
      </c>
      <c r="P75" t="s">
        <v>38</v>
      </c>
      <c r="Q75">
        <v>7.7</v>
      </c>
      <c r="R75" t="str">
        <f t="shared" si="1"/>
        <v>February</v>
      </c>
    </row>
    <row r="76" spans="1:18" x14ac:dyDescent="0.3">
      <c r="A76" t="s">
        <v>184</v>
      </c>
      <c r="B76">
        <v>46056</v>
      </c>
      <c r="C76" t="s">
        <v>185</v>
      </c>
      <c r="D76" t="s">
        <v>51</v>
      </c>
      <c r="E76" t="s">
        <v>51</v>
      </c>
      <c r="F76" t="s">
        <v>33</v>
      </c>
      <c r="G76" t="s">
        <v>22</v>
      </c>
      <c r="H76" t="s">
        <v>42</v>
      </c>
      <c r="I76">
        <v>284.75</v>
      </c>
      <c r="J76">
        <v>10</v>
      </c>
      <c r="K76">
        <v>142.38</v>
      </c>
      <c r="L76">
        <v>2989.88</v>
      </c>
      <c r="M76">
        <v>2201.63</v>
      </c>
      <c r="N76">
        <v>788.25</v>
      </c>
      <c r="O76">
        <v>26.36</v>
      </c>
      <c r="P76" t="s">
        <v>46</v>
      </c>
      <c r="Q76">
        <v>8.5</v>
      </c>
      <c r="R76" t="str">
        <f t="shared" si="1"/>
        <v>February</v>
      </c>
    </row>
    <row r="77" spans="1:18" x14ac:dyDescent="0.3">
      <c r="A77" t="s">
        <v>186</v>
      </c>
      <c r="B77">
        <v>46057</v>
      </c>
      <c r="C77" t="s">
        <v>187</v>
      </c>
      <c r="D77" t="s">
        <v>59</v>
      </c>
      <c r="E77" t="s">
        <v>59</v>
      </c>
      <c r="F77" t="s">
        <v>21</v>
      </c>
      <c r="G77" t="s">
        <v>27</v>
      </c>
      <c r="H77" t="s">
        <v>23</v>
      </c>
      <c r="I77">
        <v>150.04</v>
      </c>
      <c r="J77">
        <v>5</v>
      </c>
      <c r="K77">
        <v>37.51</v>
      </c>
      <c r="L77">
        <v>787.71</v>
      </c>
      <c r="M77">
        <v>637.71</v>
      </c>
      <c r="N77">
        <v>150</v>
      </c>
      <c r="O77">
        <v>19.04</v>
      </c>
      <c r="P77" t="s">
        <v>46</v>
      </c>
      <c r="Q77">
        <v>6.1</v>
      </c>
      <c r="R77" t="str">
        <f t="shared" si="1"/>
        <v>February</v>
      </c>
    </row>
    <row r="78" spans="1:18" x14ac:dyDescent="0.3">
      <c r="A78" t="s">
        <v>188</v>
      </c>
      <c r="B78">
        <v>46057</v>
      </c>
      <c r="C78" t="s">
        <v>189</v>
      </c>
      <c r="D78" t="s">
        <v>19</v>
      </c>
      <c r="E78" t="s">
        <v>20</v>
      </c>
      <c r="F78" t="s">
        <v>33</v>
      </c>
      <c r="G78" t="s">
        <v>22</v>
      </c>
      <c r="H78" t="s">
        <v>45</v>
      </c>
      <c r="I78">
        <v>141.69999999999999</v>
      </c>
      <c r="J78">
        <v>5</v>
      </c>
      <c r="K78">
        <v>35.43</v>
      </c>
      <c r="L78">
        <v>743.93</v>
      </c>
      <c r="M78">
        <v>543.71</v>
      </c>
      <c r="N78">
        <v>200.22</v>
      </c>
      <c r="O78">
        <v>26.91</v>
      </c>
      <c r="P78" t="s">
        <v>35</v>
      </c>
      <c r="Q78">
        <v>9.1</v>
      </c>
      <c r="R78" t="str">
        <f t="shared" si="1"/>
        <v>February</v>
      </c>
    </row>
    <row r="79" spans="1:18" x14ac:dyDescent="0.3">
      <c r="A79" t="s">
        <v>190</v>
      </c>
      <c r="B79">
        <v>46057</v>
      </c>
      <c r="C79" t="s">
        <v>191</v>
      </c>
      <c r="D79" t="s">
        <v>19</v>
      </c>
      <c r="E79" t="s">
        <v>20</v>
      </c>
      <c r="F79" t="s">
        <v>33</v>
      </c>
      <c r="G79" t="s">
        <v>27</v>
      </c>
      <c r="H79" t="s">
        <v>45</v>
      </c>
      <c r="I79">
        <v>247.13</v>
      </c>
      <c r="J79">
        <v>2</v>
      </c>
      <c r="K79">
        <v>24.71</v>
      </c>
      <c r="L79">
        <v>518.97</v>
      </c>
      <c r="M79">
        <v>352.15</v>
      </c>
      <c r="N79">
        <v>166.82</v>
      </c>
      <c r="O79">
        <v>32.14</v>
      </c>
      <c r="P79" t="s">
        <v>38</v>
      </c>
      <c r="Q79">
        <v>6.8</v>
      </c>
      <c r="R79" t="str">
        <f t="shared" si="1"/>
        <v>February</v>
      </c>
    </row>
    <row r="80" spans="1:18" x14ac:dyDescent="0.3">
      <c r="A80" t="s">
        <v>192</v>
      </c>
      <c r="B80">
        <v>46057</v>
      </c>
      <c r="C80" t="s">
        <v>193</v>
      </c>
      <c r="D80" t="s">
        <v>19</v>
      </c>
      <c r="E80" t="s">
        <v>20</v>
      </c>
      <c r="F80" t="s">
        <v>33</v>
      </c>
      <c r="G80" t="s">
        <v>22</v>
      </c>
      <c r="H80" t="s">
        <v>45</v>
      </c>
      <c r="I80">
        <v>193.17</v>
      </c>
      <c r="J80">
        <v>1</v>
      </c>
      <c r="K80">
        <v>9.66</v>
      </c>
      <c r="L80">
        <v>202.83</v>
      </c>
      <c r="M80">
        <v>167.92</v>
      </c>
      <c r="N80">
        <v>34.909999999999997</v>
      </c>
      <c r="O80">
        <v>17.21</v>
      </c>
      <c r="P80" t="s">
        <v>29</v>
      </c>
      <c r="Q80">
        <v>8.4</v>
      </c>
      <c r="R80" t="str">
        <f t="shared" si="1"/>
        <v>February</v>
      </c>
    </row>
    <row r="81" spans="1:18" x14ac:dyDescent="0.3">
      <c r="A81" t="s">
        <v>194</v>
      </c>
      <c r="B81">
        <v>46058</v>
      </c>
      <c r="C81" t="s">
        <v>195</v>
      </c>
      <c r="D81" t="s">
        <v>51</v>
      </c>
      <c r="E81" t="s">
        <v>51</v>
      </c>
      <c r="F81" t="s">
        <v>33</v>
      </c>
      <c r="G81" t="s">
        <v>27</v>
      </c>
      <c r="H81" t="s">
        <v>42</v>
      </c>
      <c r="I81">
        <v>359.47</v>
      </c>
      <c r="J81">
        <v>8</v>
      </c>
      <c r="K81">
        <v>143.79</v>
      </c>
      <c r="L81">
        <v>3019.55</v>
      </c>
      <c r="M81">
        <v>2418.85</v>
      </c>
      <c r="N81">
        <v>600.70000000000005</v>
      </c>
      <c r="O81">
        <v>19.89</v>
      </c>
      <c r="P81" t="s">
        <v>29</v>
      </c>
      <c r="Q81">
        <v>7.1</v>
      </c>
      <c r="R81" t="str">
        <f t="shared" si="1"/>
        <v>February</v>
      </c>
    </row>
    <row r="82" spans="1:18" x14ac:dyDescent="0.3">
      <c r="A82" t="s">
        <v>196</v>
      </c>
      <c r="B82">
        <v>46058</v>
      </c>
      <c r="C82" t="s">
        <v>197</v>
      </c>
      <c r="D82" t="s">
        <v>32</v>
      </c>
      <c r="E82" t="s">
        <v>32</v>
      </c>
      <c r="F82" t="s">
        <v>33</v>
      </c>
      <c r="G82" t="s">
        <v>27</v>
      </c>
      <c r="H82" t="s">
        <v>34</v>
      </c>
      <c r="I82">
        <v>77.53</v>
      </c>
      <c r="J82">
        <v>2</v>
      </c>
      <c r="K82">
        <v>7.75</v>
      </c>
      <c r="L82">
        <v>162.81</v>
      </c>
      <c r="M82">
        <v>131.13</v>
      </c>
      <c r="N82">
        <v>31.68</v>
      </c>
      <c r="O82">
        <v>19.46</v>
      </c>
      <c r="P82" t="s">
        <v>29</v>
      </c>
      <c r="Q82">
        <v>10</v>
      </c>
      <c r="R82" t="str">
        <f t="shared" si="1"/>
        <v>February</v>
      </c>
    </row>
    <row r="83" spans="1:18" x14ac:dyDescent="0.3">
      <c r="A83" t="s">
        <v>198</v>
      </c>
      <c r="B83">
        <v>46059</v>
      </c>
      <c r="C83" t="s">
        <v>199</v>
      </c>
      <c r="D83" t="s">
        <v>32</v>
      </c>
      <c r="E83" t="s">
        <v>32</v>
      </c>
      <c r="F83" t="s">
        <v>21</v>
      </c>
      <c r="G83" t="s">
        <v>27</v>
      </c>
      <c r="H83" t="s">
        <v>42</v>
      </c>
      <c r="I83">
        <v>290.3</v>
      </c>
      <c r="J83">
        <v>7</v>
      </c>
      <c r="K83">
        <v>101.61</v>
      </c>
      <c r="L83">
        <v>2133.71</v>
      </c>
      <c r="M83">
        <v>1718.84</v>
      </c>
      <c r="N83">
        <v>414.87</v>
      </c>
      <c r="O83">
        <v>19.440000000000001</v>
      </c>
      <c r="P83" t="s">
        <v>46</v>
      </c>
      <c r="Q83">
        <v>7.7</v>
      </c>
      <c r="R83" t="str">
        <f t="shared" si="1"/>
        <v>February</v>
      </c>
    </row>
    <row r="84" spans="1:18" x14ac:dyDescent="0.3">
      <c r="A84" t="s">
        <v>200</v>
      </c>
      <c r="B84">
        <v>46060</v>
      </c>
      <c r="C84" t="s">
        <v>201</v>
      </c>
      <c r="D84" t="s">
        <v>41</v>
      </c>
      <c r="E84" t="s">
        <v>20</v>
      </c>
      <c r="F84" t="s">
        <v>21</v>
      </c>
      <c r="G84" t="s">
        <v>27</v>
      </c>
      <c r="H84" t="s">
        <v>28</v>
      </c>
      <c r="I84">
        <v>181.97</v>
      </c>
      <c r="J84">
        <v>8</v>
      </c>
      <c r="K84">
        <v>72.790000000000006</v>
      </c>
      <c r="L84">
        <v>1528.55</v>
      </c>
      <c r="M84">
        <v>1262.54</v>
      </c>
      <c r="N84">
        <v>266.01</v>
      </c>
      <c r="O84">
        <v>17.399999999999999</v>
      </c>
      <c r="P84" t="s">
        <v>29</v>
      </c>
      <c r="Q84">
        <v>7.1</v>
      </c>
      <c r="R84" t="str">
        <f t="shared" si="1"/>
        <v>February</v>
      </c>
    </row>
    <row r="85" spans="1:18" x14ac:dyDescent="0.3">
      <c r="A85" t="s">
        <v>202</v>
      </c>
      <c r="B85">
        <v>46060</v>
      </c>
      <c r="C85" t="s">
        <v>203</v>
      </c>
      <c r="D85" t="s">
        <v>51</v>
      </c>
      <c r="E85" t="s">
        <v>51</v>
      </c>
      <c r="F85" t="s">
        <v>33</v>
      </c>
      <c r="G85" t="s">
        <v>27</v>
      </c>
      <c r="H85" t="s">
        <v>45</v>
      </c>
      <c r="I85">
        <v>157.15</v>
      </c>
      <c r="J85">
        <v>8</v>
      </c>
      <c r="K85">
        <v>62.86</v>
      </c>
      <c r="L85">
        <v>1320.06</v>
      </c>
      <c r="M85">
        <v>1035.1400000000001</v>
      </c>
      <c r="N85">
        <v>284.92</v>
      </c>
      <c r="O85">
        <v>21.58</v>
      </c>
      <c r="P85" t="s">
        <v>46</v>
      </c>
      <c r="Q85">
        <v>7.4</v>
      </c>
      <c r="R85" t="str">
        <f t="shared" si="1"/>
        <v>February</v>
      </c>
    </row>
    <row r="86" spans="1:18" x14ac:dyDescent="0.3">
      <c r="A86" t="s">
        <v>204</v>
      </c>
      <c r="B86">
        <v>46060</v>
      </c>
      <c r="C86" t="s">
        <v>205</v>
      </c>
      <c r="D86" t="s">
        <v>41</v>
      </c>
      <c r="E86" t="s">
        <v>20</v>
      </c>
      <c r="F86" t="s">
        <v>21</v>
      </c>
      <c r="G86" t="s">
        <v>27</v>
      </c>
      <c r="H86" t="s">
        <v>72</v>
      </c>
      <c r="I86">
        <v>163.95</v>
      </c>
      <c r="J86">
        <v>9</v>
      </c>
      <c r="K86">
        <v>73.78</v>
      </c>
      <c r="L86">
        <v>1549.33</v>
      </c>
      <c r="M86">
        <v>1033.72</v>
      </c>
      <c r="N86">
        <v>515.61</v>
      </c>
      <c r="O86">
        <v>33.28</v>
      </c>
      <c r="P86" t="s">
        <v>24</v>
      </c>
      <c r="Q86">
        <v>4.5999999999999996</v>
      </c>
      <c r="R86" t="str">
        <f t="shared" si="1"/>
        <v>February</v>
      </c>
    </row>
    <row r="87" spans="1:18" x14ac:dyDescent="0.3">
      <c r="A87" t="s">
        <v>206</v>
      </c>
      <c r="B87">
        <v>46061</v>
      </c>
      <c r="C87" t="s">
        <v>207</v>
      </c>
      <c r="D87" t="s">
        <v>59</v>
      </c>
      <c r="E87" t="s">
        <v>59</v>
      </c>
      <c r="F87" t="s">
        <v>21</v>
      </c>
      <c r="G87" t="s">
        <v>27</v>
      </c>
      <c r="H87" t="s">
        <v>23</v>
      </c>
      <c r="I87">
        <v>95.86</v>
      </c>
      <c r="J87">
        <v>2</v>
      </c>
      <c r="K87">
        <v>9.59</v>
      </c>
      <c r="L87">
        <v>201.31</v>
      </c>
      <c r="M87">
        <v>166.73</v>
      </c>
      <c r="N87">
        <v>34.58</v>
      </c>
      <c r="O87">
        <v>17.18</v>
      </c>
      <c r="P87" t="s">
        <v>24</v>
      </c>
      <c r="Q87">
        <v>8.4</v>
      </c>
      <c r="R87" t="str">
        <f t="shared" si="1"/>
        <v>February</v>
      </c>
    </row>
    <row r="88" spans="1:18" x14ac:dyDescent="0.3">
      <c r="A88" t="s">
        <v>208</v>
      </c>
      <c r="B88">
        <v>46061</v>
      </c>
      <c r="C88" t="s">
        <v>209</v>
      </c>
      <c r="D88" t="s">
        <v>19</v>
      </c>
      <c r="E88" t="s">
        <v>20</v>
      </c>
      <c r="F88" t="s">
        <v>33</v>
      </c>
      <c r="G88" t="s">
        <v>27</v>
      </c>
      <c r="H88" t="s">
        <v>23</v>
      </c>
      <c r="I88">
        <v>125.25</v>
      </c>
      <c r="J88">
        <v>8</v>
      </c>
      <c r="K88">
        <v>50.1</v>
      </c>
      <c r="L88">
        <v>1052.0999999999999</v>
      </c>
      <c r="M88">
        <v>846.74</v>
      </c>
      <c r="N88">
        <v>205.36</v>
      </c>
      <c r="O88">
        <v>19.52</v>
      </c>
      <c r="P88" t="s">
        <v>46</v>
      </c>
      <c r="Q88">
        <v>6.8</v>
      </c>
      <c r="R88" t="str">
        <f t="shared" si="1"/>
        <v>February</v>
      </c>
    </row>
    <row r="89" spans="1:18" x14ac:dyDescent="0.3">
      <c r="A89" t="s">
        <v>210</v>
      </c>
      <c r="B89">
        <v>46061</v>
      </c>
      <c r="C89" t="s">
        <v>211</v>
      </c>
      <c r="D89" t="s">
        <v>51</v>
      </c>
      <c r="E89" t="s">
        <v>51</v>
      </c>
      <c r="F89" t="s">
        <v>21</v>
      </c>
      <c r="G89" t="s">
        <v>27</v>
      </c>
      <c r="H89" t="s">
        <v>28</v>
      </c>
      <c r="I89">
        <v>164.52</v>
      </c>
      <c r="J89">
        <v>7</v>
      </c>
      <c r="K89">
        <v>57.58</v>
      </c>
      <c r="L89">
        <v>1209.22</v>
      </c>
      <c r="M89">
        <v>919.25</v>
      </c>
      <c r="N89">
        <v>289.97000000000003</v>
      </c>
      <c r="O89">
        <v>23.98</v>
      </c>
      <c r="P89" t="s">
        <v>46</v>
      </c>
      <c r="Q89">
        <v>7.9</v>
      </c>
      <c r="R89" t="str">
        <f t="shared" si="1"/>
        <v>February</v>
      </c>
    </row>
    <row r="90" spans="1:18" x14ac:dyDescent="0.3">
      <c r="A90" t="s">
        <v>212</v>
      </c>
      <c r="B90">
        <v>46061</v>
      </c>
      <c r="C90" t="s">
        <v>213</v>
      </c>
      <c r="D90" t="s">
        <v>41</v>
      </c>
      <c r="E90" t="s">
        <v>20</v>
      </c>
      <c r="F90" t="s">
        <v>21</v>
      </c>
      <c r="G90" t="s">
        <v>27</v>
      </c>
      <c r="H90" t="s">
        <v>28</v>
      </c>
      <c r="I90">
        <v>120.73</v>
      </c>
      <c r="J90">
        <v>2</v>
      </c>
      <c r="K90">
        <v>12.07</v>
      </c>
      <c r="L90">
        <v>253.53</v>
      </c>
      <c r="M90">
        <v>193.94</v>
      </c>
      <c r="N90">
        <v>59.59</v>
      </c>
      <c r="O90">
        <v>23.5</v>
      </c>
      <c r="P90" t="s">
        <v>29</v>
      </c>
      <c r="Q90">
        <v>8.8000000000000007</v>
      </c>
      <c r="R90" t="str">
        <f t="shared" si="1"/>
        <v>February</v>
      </c>
    </row>
    <row r="91" spans="1:18" x14ac:dyDescent="0.3">
      <c r="A91" t="s">
        <v>214</v>
      </c>
      <c r="B91">
        <v>46062</v>
      </c>
      <c r="C91" t="s">
        <v>215</v>
      </c>
      <c r="D91" t="s">
        <v>59</v>
      </c>
      <c r="E91" t="s">
        <v>59</v>
      </c>
      <c r="F91" t="s">
        <v>33</v>
      </c>
      <c r="G91" t="s">
        <v>22</v>
      </c>
      <c r="H91" t="s">
        <v>42</v>
      </c>
      <c r="I91">
        <v>452.94</v>
      </c>
      <c r="J91">
        <v>7</v>
      </c>
      <c r="K91">
        <v>158.53</v>
      </c>
      <c r="L91">
        <v>3329.11</v>
      </c>
      <c r="M91">
        <v>2428.0500000000002</v>
      </c>
      <c r="N91">
        <v>901.06</v>
      </c>
      <c r="O91">
        <v>27.07</v>
      </c>
      <c r="P91" t="s">
        <v>35</v>
      </c>
      <c r="Q91">
        <v>8.4</v>
      </c>
      <c r="R91" t="str">
        <f t="shared" si="1"/>
        <v>February</v>
      </c>
    </row>
    <row r="92" spans="1:18" x14ac:dyDescent="0.3">
      <c r="A92" t="s">
        <v>216</v>
      </c>
      <c r="B92">
        <v>46063</v>
      </c>
      <c r="C92" t="s">
        <v>217</v>
      </c>
      <c r="D92" t="s">
        <v>59</v>
      </c>
      <c r="E92" t="s">
        <v>59</v>
      </c>
      <c r="F92" t="s">
        <v>33</v>
      </c>
      <c r="G92" t="s">
        <v>22</v>
      </c>
      <c r="H92" t="s">
        <v>99</v>
      </c>
      <c r="I92">
        <v>78.150000000000006</v>
      </c>
      <c r="J92">
        <v>9</v>
      </c>
      <c r="K92">
        <v>35.17</v>
      </c>
      <c r="L92">
        <v>738.52</v>
      </c>
      <c r="M92">
        <v>591.16999999999996</v>
      </c>
      <c r="N92">
        <v>147.35</v>
      </c>
      <c r="O92">
        <v>19.95</v>
      </c>
      <c r="P92" t="s">
        <v>46</v>
      </c>
      <c r="Q92">
        <v>9.5</v>
      </c>
      <c r="R92" t="str">
        <f t="shared" si="1"/>
        <v>February</v>
      </c>
    </row>
    <row r="93" spans="1:18" x14ac:dyDescent="0.3">
      <c r="A93" t="s">
        <v>218</v>
      </c>
      <c r="B93">
        <v>46064</v>
      </c>
      <c r="C93" t="s">
        <v>219</v>
      </c>
      <c r="D93" t="s">
        <v>59</v>
      </c>
      <c r="E93" t="s">
        <v>59</v>
      </c>
      <c r="F93" t="s">
        <v>21</v>
      </c>
      <c r="G93" t="s">
        <v>27</v>
      </c>
      <c r="H93" t="s">
        <v>28</v>
      </c>
      <c r="I93">
        <v>133.76</v>
      </c>
      <c r="J93">
        <v>10</v>
      </c>
      <c r="K93">
        <v>66.88</v>
      </c>
      <c r="L93">
        <v>1404.48</v>
      </c>
      <c r="M93">
        <v>946.43</v>
      </c>
      <c r="N93">
        <v>458.05</v>
      </c>
      <c r="O93">
        <v>32.61</v>
      </c>
      <c r="P93" t="s">
        <v>35</v>
      </c>
      <c r="Q93">
        <v>8</v>
      </c>
      <c r="R93" t="str">
        <f t="shared" si="1"/>
        <v>February</v>
      </c>
    </row>
    <row r="94" spans="1:18" x14ac:dyDescent="0.3">
      <c r="A94" t="s">
        <v>220</v>
      </c>
      <c r="B94">
        <v>46064</v>
      </c>
      <c r="C94" t="s">
        <v>221</v>
      </c>
      <c r="D94" t="s">
        <v>19</v>
      </c>
      <c r="E94" t="s">
        <v>20</v>
      </c>
      <c r="F94" t="s">
        <v>21</v>
      </c>
      <c r="G94" t="s">
        <v>27</v>
      </c>
      <c r="H94" t="s">
        <v>99</v>
      </c>
      <c r="I94">
        <v>70.89</v>
      </c>
      <c r="J94">
        <v>9</v>
      </c>
      <c r="K94">
        <v>31.9</v>
      </c>
      <c r="L94">
        <v>669.91</v>
      </c>
      <c r="M94">
        <v>558.03</v>
      </c>
      <c r="N94">
        <v>111.88</v>
      </c>
      <c r="O94">
        <v>16.7</v>
      </c>
      <c r="P94" t="s">
        <v>46</v>
      </c>
      <c r="Q94">
        <v>9.6</v>
      </c>
      <c r="R94" t="str">
        <f t="shared" si="1"/>
        <v>February</v>
      </c>
    </row>
    <row r="95" spans="1:18" x14ac:dyDescent="0.3">
      <c r="A95" t="s">
        <v>222</v>
      </c>
      <c r="B95">
        <v>46065</v>
      </c>
      <c r="C95" t="s">
        <v>223</v>
      </c>
      <c r="D95" t="s">
        <v>51</v>
      </c>
      <c r="E95" t="s">
        <v>51</v>
      </c>
      <c r="F95" t="s">
        <v>33</v>
      </c>
      <c r="G95" t="s">
        <v>27</v>
      </c>
      <c r="H95" t="s">
        <v>45</v>
      </c>
      <c r="I95">
        <v>222.58</v>
      </c>
      <c r="J95">
        <v>2</v>
      </c>
      <c r="K95">
        <v>22.26</v>
      </c>
      <c r="L95">
        <v>467.42</v>
      </c>
      <c r="M95">
        <v>374.52</v>
      </c>
      <c r="N95">
        <v>92.9</v>
      </c>
      <c r="O95">
        <v>19.88</v>
      </c>
      <c r="P95" t="s">
        <v>35</v>
      </c>
      <c r="Q95">
        <v>8.6</v>
      </c>
      <c r="R95" t="str">
        <f t="shared" si="1"/>
        <v>February</v>
      </c>
    </row>
    <row r="96" spans="1:18" x14ac:dyDescent="0.3">
      <c r="A96" t="s">
        <v>224</v>
      </c>
      <c r="B96">
        <v>46065</v>
      </c>
      <c r="C96" t="s">
        <v>225</v>
      </c>
      <c r="D96" t="s">
        <v>51</v>
      </c>
      <c r="E96" t="s">
        <v>51</v>
      </c>
      <c r="F96" t="s">
        <v>21</v>
      </c>
      <c r="G96" t="s">
        <v>27</v>
      </c>
      <c r="H96" t="s">
        <v>42</v>
      </c>
      <c r="I96">
        <v>331.75</v>
      </c>
      <c r="J96">
        <v>10</v>
      </c>
      <c r="K96">
        <v>165.88</v>
      </c>
      <c r="L96">
        <v>3483.38</v>
      </c>
      <c r="M96">
        <v>2909.43</v>
      </c>
      <c r="N96">
        <v>573.95000000000005</v>
      </c>
      <c r="O96">
        <v>16.48</v>
      </c>
      <c r="P96" t="s">
        <v>29</v>
      </c>
      <c r="Q96">
        <v>5.4</v>
      </c>
      <c r="R96" t="str">
        <f t="shared" si="1"/>
        <v>February</v>
      </c>
    </row>
    <row r="97" spans="1:18" x14ac:dyDescent="0.3">
      <c r="A97" t="s">
        <v>226</v>
      </c>
      <c r="B97">
        <v>46066</v>
      </c>
      <c r="C97" t="s">
        <v>227</v>
      </c>
      <c r="D97" t="s">
        <v>41</v>
      </c>
      <c r="E97" t="s">
        <v>20</v>
      </c>
      <c r="F97" t="s">
        <v>21</v>
      </c>
      <c r="G97" t="s">
        <v>22</v>
      </c>
      <c r="H97" t="s">
        <v>99</v>
      </c>
      <c r="I97">
        <v>71.739999999999995</v>
      </c>
      <c r="J97">
        <v>4</v>
      </c>
      <c r="K97">
        <v>14.35</v>
      </c>
      <c r="L97">
        <v>301.31</v>
      </c>
      <c r="M97">
        <v>218.68</v>
      </c>
      <c r="N97">
        <v>82.63</v>
      </c>
      <c r="O97">
        <v>27.42</v>
      </c>
      <c r="P97" t="s">
        <v>24</v>
      </c>
      <c r="Q97">
        <v>7.9</v>
      </c>
      <c r="R97" t="str">
        <f t="shared" si="1"/>
        <v>February</v>
      </c>
    </row>
    <row r="98" spans="1:18" x14ac:dyDescent="0.3">
      <c r="A98" t="s">
        <v>228</v>
      </c>
      <c r="B98">
        <v>46067</v>
      </c>
      <c r="C98" t="s">
        <v>229</v>
      </c>
      <c r="D98" t="s">
        <v>59</v>
      </c>
      <c r="E98" t="s">
        <v>59</v>
      </c>
      <c r="F98" t="s">
        <v>21</v>
      </c>
      <c r="G98" t="s">
        <v>27</v>
      </c>
      <c r="H98" t="s">
        <v>99</v>
      </c>
      <c r="I98">
        <v>91.05</v>
      </c>
      <c r="J98">
        <v>4</v>
      </c>
      <c r="K98">
        <v>18.21</v>
      </c>
      <c r="L98">
        <v>382.41</v>
      </c>
      <c r="M98">
        <v>299.35000000000002</v>
      </c>
      <c r="N98">
        <v>83.06</v>
      </c>
      <c r="O98">
        <v>21.72</v>
      </c>
      <c r="P98" t="s">
        <v>46</v>
      </c>
      <c r="Q98">
        <v>6.5</v>
      </c>
      <c r="R98" t="str">
        <f t="shared" si="1"/>
        <v>February</v>
      </c>
    </row>
    <row r="99" spans="1:18" x14ac:dyDescent="0.3">
      <c r="A99" t="s">
        <v>230</v>
      </c>
      <c r="B99">
        <v>46067</v>
      </c>
      <c r="C99" t="s">
        <v>103</v>
      </c>
      <c r="D99" t="s">
        <v>59</v>
      </c>
      <c r="E99" t="s">
        <v>59</v>
      </c>
      <c r="F99" t="s">
        <v>33</v>
      </c>
      <c r="G99" t="s">
        <v>22</v>
      </c>
      <c r="H99" t="s">
        <v>52</v>
      </c>
      <c r="I99">
        <v>115.86</v>
      </c>
      <c r="J99">
        <v>10</v>
      </c>
      <c r="K99">
        <v>57.93</v>
      </c>
      <c r="L99">
        <v>1216.53</v>
      </c>
      <c r="M99">
        <v>814.6</v>
      </c>
      <c r="N99">
        <v>401.93</v>
      </c>
      <c r="O99">
        <v>33.04</v>
      </c>
      <c r="P99" t="s">
        <v>29</v>
      </c>
      <c r="Q99">
        <v>8.6999999999999993</v>
      </c>
      <c r="R99" t="str">
        <f t="shared" si="1"/>
        <v>February</v>
      </c>
    </row>
    <row r="100" spans="1:18" x14ac:dyDescent="0.3">
      <c r="A100" t="s">
        <v>231</v>
      </c>
      <c r="B100">
        <v>46067</v>
      </c>
      <c r="C100" t="s">
        <v>232</v>
      </c>
      <c r="D100" t="s">
        <v>32</v>
      </c>
      <c r="E100" t="s">
        <v>32</v>
      </c>
      <c r="F100" t="s">
        <v>33</v>
      </c>
      <c r="G100" t="s">
        <v>22</v>
      </c>
      <c r="H100" t="s">
        <v>23</v>
      </c>
      <c r="I100">
        <v>78.33</v>
      </c>
      <c r="J100">
        <v>9</v>
      </c>
      <c r="K100">
        <v>35.25</v>
      </c>
      <c r="L100">
        <v>740.22</v>
      </c>
      <c r="M100">
        <v>565.74</v>
      </c>
      <c r="N100">
        <v>174.48</v>
      </c>
      <c r="O100">
        <v>23.57</v>
      </c>
      <c r="P100" t="s">
        <v>46</v>
      </c>
      <c r="Q100">
        <v>6.4</v>
      </c>
      <c r="R100" t="str">
        <f t="shared" si="1"/>
        <v>February</v>
      </c>
    </row>
    <row r="101" spans="1:18" x14ac:dyDescent="0.3">
      <c r="A101" t="s">
        <v>233</v>
      </c>
      <c r="B101">
        <v>46067</v>
      </c>
      <c r="C101" t="s">
        <v>234</v>
      </c>
      <c r="D101" t="s">
        <v>19</v>
      </c>
      <c r="E101" t="s">
        <v>20</v>
      </c>
      <c r="F101" t="s">
        <v>33</v>
      </c>
      <c r="G101" t="s">
        <v>22</v>
      </c>
      <c r="H101" t="s">
        <v>28</v>
      </c>
      <c r="I101">
        <v>138.02000000000001</v>
      </c>
      <c r="J101">
        <v>5</v>
      </c>
      <c r="K101">
        <v>34.51</v>
      </c>
      <c r="L101">
        <v>724.61</v>
      </c>
      <c r="M101">
        <v>593.86</v>
      </c>
      <c r="N101">
        <v>130.75</v>
      </c>
      <c r="O101">
        <v>18.04</v>
      </c>
      <c r="P101" t="s">
        <v>24</v>
      </c>
      <c r="Q101">
        <v>9.1999999999999993</v>
      </c>
      <c r="R101" t="str">
        <f t="shared" si="1"/>
        <v>February</v>
      </c>
    </row>
    <row r="102" spans="1:18" x14ac:dyDescent="0.3">
      <c r="A102" t="s">
        <v>235</v>
      </c>
      <c r="B102">
        <v>46067</v>
      </c>
      <c r="C102" t="s">
        <v>236</v>
      </c>
      <c r="D102" t="s">
        <v>32</v>
      </c>
      <c r="E102" t="s">
        <v>32</v>
      </c>
      <c r="F102" t="s">
        <v>21</v>
      </c>
      <c r="G102" t="s">
        <v>22</v>
      </c>
      <c r="H102" t="s">
        <v>28</v>
      </c>
      <c r="I102">
        <v>144.44999999999999</v>
      </c>
      <c r="J102">
        <v>4</v>
      </c>
      <c r="K102">
        <v>28.89</v>
      </c>
      <c r="L102">
        <v>606.69000000000005</v>
      </c>
      <c r="M102">
        <v>435.92</v>
      </c>
      <c r="N102">
        <v>170.77</v>
      </c>
      <c r="O102">
        <v>28.15</v>
      </c>
      <c r="P102" t="s">
        <v>35</v>
      </c>
      <c r="Q102">
        <v>7.9</v>
      </c>
      <c r="R102" t="str">
        <f t="shared" si="1"/>
        <v>February</v>
      </c>
    </row>
    <row r="103" spans="1:18" x14ac:dyDescent="0.3">
      <c r="A103" t="s">
        <v>237</v>
      </c>
      <c r="B103">
        <v>46067</v>
      </c>
      <c r="C103" t="s">
        <v>238</v>
      </c>
      <c r="D103" t="s">
        <v>19</v>
      </c>
      <c r="E103" t="s">
        <v>20</v>
      </c>
      <c r="F103" t="s">
        <v>21</v>
      </c>
      <c r="G103" t="s">
        <v>27</v>
      </c>
      <c r="H103" t="s">
        <v>99</v>
      </c>
      <c r="I103">
        <v>126.13</v>
      </c>
      <c r="J103">
        <v>8</v>
      </c>
      <c r="K103">
        <v>50.45</v>
      </c>
      <c r="L103">
        <v>1059.49</v>
      </c>
      <c r="M103">
        <v>811.06</v>
      </c>
      <c r="N103">
        <v>248.43</v>
      </c>
      <c r="O103">
        <v>23.45</v>
      </c>
      <c r="P103" t="s">
        <v>38</v>
      </c>
      <c r="Q103">
        <v>8.4</v>
      </c>
      <c r="R103" t="str">
        <f t="shared" si="1"/>
        <v>February</v>
      </c>
    </row>
    <row r="104" spans="1:18" x14ac:dyDescent="0.3">
      <c r="A104" t="s">
        <v>239</v>
      </c>
      <c r="B104">
        <v>46068</v>
      </c>
      <c r="C104" t="s">
        <v>240</v>
      </c>
      <c r="D104" t="s">
        <v>32</v>
      </c>
      <c r="E104" t="s">
        <v>32</v>
      </c>
      <c r="F104" t="s">
        <v>33</v>
      </c>
      <c r="G104" t="s">
        <v>22</v>
      </c>
      <c r="H104" t="s">
        <v>99</v>
      </c>
      <c r="I104">
        <v>95.13</v>
      </c>
      <c r="J104">
        <v>6</v>
      </c>
      <c r="K104">
        <v>28.54</v>
      </c>
      <c r="L104">
        <v>599.32000000000005</v>
      </c>
      <c r="M104">
        <v>476.4</v>
      </c>
      <c r="N104">
        <v>122.92</v>
      </c>
      <c r="O104">
        <v>20.51</v>
      </c>
      <c r="P104" t="s">
        <v>38</v>
      </c>
      <c r="Q104">
        <v>6.4</v>
      </c>
      <c r="R104" t="str">
        <f t="shared" si="1"/>
        <v>February</v>
      </c>
    </row>
    <row r="105" spans="1:18" x14ac:dyDescent="0.3">
      <c r="A105" t="s">
        <v>241</v>
      </c>
      <c r="B105">
        <v>46068</v>
      </c>
      <c r="C105" t="s">
        <v>242</v>
      </c>
      <c r="D105" t="s">
        <v>41</v>
      </c>
      <c r="E105" t="s">
        <v>20</v>
      </c>
      <c r="F105" t="s">
        <v>33</v>
      </c>
      <c r="G105" t="s">
        <v>22</v>
      </c>
      <c r="H105" t="s">
        <v>52</v>
      </c>
      <c r="I105">
        <v>103.45</v>
      </c>
      <c r="J105">
        <v>6</v>
      </c>
      <c r="K105">
        <v>31.04</v>
      </c>
      <c r="L105">
        <v>651.74</v>
      </c>
      <c r="M105">
        <v>527.65</v>
      </c>
      <c r="N105">
        <v>124.09</v>
      </c>
      <c r="O105">
        <v>19.04</v>
      </c>
      <c r="P105" t="s">
        <v>24</v>
      </c>
      <c r="Q105">
        <v>8.4</v>
      </c>
      <c r="R105" t="str">
        <f t="shared" si="1"/>
        <v>February</v>
      </c>
    </row>
    <row r="106" spans="1:18" x14ac:dyDescent="0.3">
      <c r="A106" t="s">
        <v>243</v>
      </c>
      <c r="B106">
        <v>46069</v>
      </c>
      <c r="C106" t="s">
        <v>244</v>
      </c>
      <c r="D106" t="s">
        <v>19</v>
      </c>
      <c r="E106" t="s">
        <v>20</v>
      </c>
      <c r="F106" t="s">
        <v>21</v>
      </c>
      <c r="G106" t="s">
        <v>27</v>
      </c>
      <c r="H106" t="s">
        <v>34</v>
      </c>
      <c r="I106">
        <v>49.47</v>
      </c>
      <c r="J106">
        <v>10</v>
      </c>
      <c r="K106">
        <v>24.74</v>
      </c>
      <c r="L106">
        <v>519.44000000000005</v>
      </c>
      <c r="M106">
        <v>347.31</v>
      </c>
      <c r="N106">
        <v>172.13</v>
      </c>
      <c r="O106">
        <v>33.14</v>
      </c>
      <c r="P106" t="s">
        <v>38</v>
      </c>
      <c r="Q106">
        <v>8.6999999999999993</v>
      </c>
      <c r="R106" t="str">
        <f t="shared" si="1"/>
        <v>February</v>
      </c>
    </row>
    <row r="107" spans="1:18" x14ac:dyDescent="0.3">
      <c r="A107" t="s">
        <v>245</v>
      </c>
      <c r="B107">
        <v>46069</v>
      </c>
      <c r="C107" t="s">
        <v>246</v>
      </c>
      <c r="D107" t="s">
        <v>51</v>
      </c>
      <c r="E107" t="s">
        <v>51</v>
      </c>
      <c r="F107" t="s">
        <v>21</v>
      </c>
      <c r="G107" t="s">
        <v>22</v>
      </c>
      <c r="H107" t="s">
        <v>45</v>
      </c>
      <c r="I107">
        <v>201.62</v>
      </c>
      <c r="J107">
        <v>4</v>
      </c>
      <c r="K107">
        <v>40.32</v>
      </c>
      <c r="L107">
        <v>846.8</v>
      </c>
      <c r="M107">
        <v>588.94000000000005</v>
      </c>
      <c r="N107">
        <v>257.86</v>
      </c>
      <c r="O107">
        <v>30.45</v>
      </c>
      <c r="P107" t="s">
        <v>35</v>
      </c>
      <c r="Q107">
        <v>7.4</v>
      </c>
      <c r="R107" t="str">
        <f t="shared" si="1"/>
        <v>February</v>
      </c>
    </row>
    <row r="108" spans="1:18" x14ac:dyDescent="0.3">
      <c r="A108" t="s">
        <v>247</v>
      </c>
      <c r="B108">
        <v>46070</v>
      </c>
      <c r="C108" t="s">
        <v>248</v>
      </c>
      <c r="D108" t="s">
        <v>51</v>
      </c>
      <c r="E108" t="s">
        <v>51</v>
      </c>
      <c r="F108" t="s">
        <v>33</v>
      </c>
      <c r="G108" t="s">
        <v>27</v>
      </c>
      <c r="H108" t="s">
        <v>34</v>
      </c>
      <c r="I108">
        <v>99.91</v>
      </c>
      <c r="J108">
        <v>6</v>
      </c>
      <c r="K108">
        <v>29.97</v>
      </c>
      <c r="L108">
        <v>629.42999999999995</v>
      </c>
      <c r="M108">
        <v>500.2</v>
      </c>
      <c r="N108">
        <v>129.22999999999999</v>
      </c>
      <c r="O108">
        <v>20.53</v>
      </c>
      <c r="P108" t="s">
        <v>29</v>
      </c>
      <c r="Q108">
        <v>9</v>
      </c>
      <c r="R108" t="str">
        <f t="shared" si="1"/>
        <v>February</v>
      </c>
    </row>
    <row r="109" spans="1:18" x14ac:dyDescent="0.3">
      <c r="A109" t="s">
        <v>249</v>
      </c>
      <c r="B109">
        <v>46070</v>
      </c>
      <c r="C109" t="s">
        <v>250</v>
      </c>
      <c r="D109" t="s">
        <v>59</v>
      </c>
      <c r="E109" t="s">
        <v>59</v>
      </c>
      <c r="F109" t="s">
        <v>21</v>
      </c>
      <c r="G109" t="s">
        <v>27</v>
      </c>
      <c r="H109" t="s">
        <v>45</v>
      </c>
      <c r="I109">
        <v>187.39</v>
      </c>
      <c r="J109">
        <v>9</v>
      </c>
      <c r="K109">
        <v>84.33</v>
      </c>
      <c r="L109">
        <v>1770.84</v>
      </c>
      <c r="M109">
        <v>1283.01</v>
      </c>
      <c r="N109">
        <v>487.83</v>
      </c>
      <c r="O109">
        <v>27.55</v>
      </c>
      <c r="P109" t="s">
        <v>35</v>
      </c>
      <c r="Q109">
        <v>8.9</v>
      </c>
      <c r="R109" t="str">
        <f t="shared" si="1"/>
        <v>February</v>
      </c>
    </row>
    <row r="110" spans="1:18" x14ac:dyDescent="0.3">
      <c r="A110" t="s">
        <v>251</v>
      </c>
      <c r="B110">
        <v>46072</v>
      </c>
      <c r="C110" t="s">
        <v>252</v>
      </c>
      <c r="D110" t="s">
        <v>51</v>
      </c>
      <c r="E110" t="s">
        <v>51</v>
      </c>
      <c r="F110" t="s">
        <v>33</v>
      </c>
      <c r="G110" t="s">
        <v>27</v>
      </c>
      <c r="H110" t="s">
        <v>34</v>
      </c>
      <c r="I110">
        <v>67.63</v>
      </c>
      <c r="J110">
        <v>5</v>
      </c>
      <c r="K110">
        <v>16.91</v>
      </c>
      <c r="L110">
        <v>355.06</v>
      </c>
      <c r="M110">
        <v>244.84</v>
      </c>
      <c r="N110">
        <v>110.22</v>
      </c>
      <c r="O110">
        <v>31.04</v>
      </c>
      <c r="P110" t="s">
        <v>46</v>
      </c>
      <c r="Q110">
        <v>8.1999999999999993</v>
      </c>
      <c r="R110" t="str">
        <f t="shared" si="1"/>
        <v>February</v>
      </c>
    </row>
    <row r="111" spans="1:18" x14ac:dyDescent="0.3">
      <c r="A111" t="s">
        <v>253</v>
      </c>
      <c r="B111">
        <v>46072</v>
      </c>
      <c r="C111" t="s">
        <v>254</v>
      </c>
      <c r="D111" t="s">
        <v>32</v>
      </c>
      <c r="E111" t="s">
        <v>32</v>
      </c>
      <c r="F111" t="s">
        <v>21</v>
      </c>
      <c r="G111" t="s">
        <v>27</v>
      </c>
      <c r="H111" t="s">
        <v>34</v>
      </c>
      <c r="I111">
        <v>85.43</v>
      </c>
      <c r="J111">
        <v>3</v>
      </c>
      <c r="K111">
        <v>12.81</v>
      </c>
      <c r="L111">
        <v>269.10000000000002</v>
      </c>
      <c r="M111">
        <v>199.63</v>
      </c>
      <c r="N111">
        <v>69.47</v>
      </c>
      <c r="O111">
        <v>25.82</v>
      </c>
      <c r="P111" t="s">
        <v>29</v>
      </c>
      <c r="Q111">
        <v>8.6999999999999993</v>
      </c>
      <c r="R111" t="str">
        <f t="shared" si="1"/>
        <v>February</v>
      </c>
    </row>
    <row r="112" spans="1:18" x14ac:dyDescent="0.3">
      <c r="A112" t="s">
        <v>255</v>
      </c>
      <c r="B112">
        <v>46073</v>
      </c>
      <c r="C112" t="s">
        <v>256</v>
      </c>
      <c r="D112" t="s">
        <v>41</v>
      </c>
      <c r="E112" t="s">
        <v>20</v>
      </c>
      <c r="F112" t="s">
        <v>21</v>
      </c>
      <c r="G112" t="s">
        <v>22</v>
      </c>
      <c r="H112" t="s">
        <v>45</v>
      </c>
      <c r="I112">
        <v>155.15</v>
      </c>
      <c r="J112">
        <v>5</v>
      </c>
      <c r="K112">
        <v>38.79</v>
      </c>
      <c r="L112">
        <v>814.54</v>
      </c>
      <c r="M112">
        <v>631.41999999999996</v>
      </c>
      <c r="N112">
        <v>183.12</v>
      </c>
      <c r="O112">
        <v>22.48</v>
      </c>
      <c r="P112" t="s">
        <v>35</v>
      </c>
      <c r="Q112">
        <v>8.8000000000000007</v>
      </c>
      <c r="R112" t="str">
        <f t="shared" si="1"/>
        <v>February</v>
      </c>
    </row>
    <row r="113" spans="1:18" x14ac:dyDescent="0.3">
      <c r="A113" t="s">
        <v>257</v>
      </c>
      <c r="B113">
        <v>46075</v>
      </c>
      <c r="C113" t="s">
        <v>258</v>
      </c>
      <c r="D113" t="s">
        <v>19</v>
      </c>
      <c r="E113" t="s">
        <v>20</v>
      </c>
      <c r="F113" t="s">
        <v>21</v>
      </c>
      <c r="G113" t="s">
        <v>22</v>
      </c>
      <c r="H113" t="s">
        <v>99</v>
      </c>
      <c r="I113">
        <v>67.2</v>
      </c>
      <c r="J113">
        <v>8</v>
      </c>
      <c r="K113">
        <v>26.88</v>
      </c>
      <c r="L113">
        <v>564.48</v>
      </c>
      <c r="M113">
        <v>422.7</v>
      </c>
      <c r="N113">
        <v>141.78</v>
      </c>
      <c r="O113">
        <v>25.12</v>
      </c>
      <c r="P113" t="s">
        <v>46</v>
      </c>
      <c r="Q113">
        <v>7.2</v>
      </c>
      <c r="R113" t="str">
        <f t="shared" si="1"/>
        <v>February</v>
      </c>
    </row>
    <row r="114" spans="1:18" x14ac:dyDescent="0.3">
      <c r="A114" t="s">
        <v>259</v>
      </c>
      <c r="B114">
        <v>46075</v>
      </c>
      <c r="C114" t="s">
        <v>260</v>
      </c>
      <c r="D114" t="s">
        <v>59</v>
      </c>
      <c r="E114" t="s">
        <v>59</v>
      </c>
      <c r="F114" t="s">
        <v>261</v>
      </c>
      <c r="G114" t="s">
        <v>27</v>
      </c>
      <c r="H114" t="s">
        <v>72</v>
      </c>
      <c r="I114">
        <v>245.45</v>
      </c>
      <c r="J114">
        <v>4</v>
      </c>
      <c r="K114">
        <v>49.09</v>
      </c>
      <c r="L114">
        <v>1030.8900000000001</v>
      </c>
      <c r="M114">
        <v>816.8</v>
      </c>
      <c r="N114">
        <v>214.09</v>
      </c>
      <c r="O114">
        <v>20.77</v>
      </c>
      <c r="P114" t="s">
        <v>35</v>
      </c>
      <c r="Q114">
        <v>7.7</v>
      </c>
      <c r="R114" t="str">
        <f t="shared" si="1"/>
        <v>February</v>
      </c>
    </row>
    <row r="115" spans="1:18" x14ac:dyDescent="0.3">
      <c r="A115" t="s">
        <v>262</v>
      </c>
      <c r="B115">
        <v>46076</v>
      </c>
      <c r="C115" t="s">
        <v>263</v>
      </c>
      <c r="D115" t="s">
        <v>19</v>
      </c>
      <c r="E115" t="s">
        <v>20</v>
      </c>
      <c r="F115" t="s">
        <v>21</v>
      </c>
      <c r="G115" t="s">
        <v>27</v>
      </c>
      <c r="H115" t="s">
        <v>72</v>
      </c>
      <c r="I115">
        <v>206.96</v>
      </c>
      <c r="J115">
        <v>5</v>
      </c>
      <c r="K115">
        <v>51.74</v>
      </c>
      <c r="L115">
        <v>1086.54</v>
      </c>
      <c r="M115">
        <v>809.09</v>
      </c>
      <c r="N115">
        <v>277.45</v>
      </c>
      <c r="O115">
        <v>25.54</v>
      </c>
      <c r="P115" t="s">
        <v>35</v>
      </c>
      <c r="Q115">
        <v>8.3000000000000007</v>
      </c>
      <c r="R115" t="str">
        <f t="shared" si="1"/>
        <v>February</v>
      </c>
    </row>
    <row r="116" spans="1:18" x14ac:dyDescent="0.3">
      <c r="A116" t="s">
        <v>264</v>
      </c>
      <c r="B116">
        <v>46077</v>
      </c>
      <c r="C116" t="s">
        <v>265</v>
      </c>
      <c r="D116" t="s">
        <v>19</v>
      </c>
      <c r="E116" t="s">
        <v>20</v>
      </c>
      <c r="F116" t="s">
        <v>33</v>
      </c>
      <c r="G116" t="s">
        <v>27</v>
      </c>
      <c r="H116" t="s">
        <v>23</v>
      </c>
      <c r="I116">
        <v>146.97</v>
      </c>
      <c r="J116">
        <v>10</v>
      </c>
      <c r="K116">
        <v>73.48</v>
      </c>
      <c r="L116">
        <v>1543.18</v>
      </c>
      <c r="M116">
        <v>1222.26</v>
      </c>
      <c r="N116">
        <v>320.92</v>
      </c>
      <c r="O116">
        <v>20.8</v>
      </c>
      <c r="P116" t="s">
        <v>38</v>
      </c>
      <c r="Q116">
        <v>8.6</v>
      </c>
      <c r="R116" t="str">
        <f t="shared" si="1"/>
        <v>February</v>
      </c>
    </row>
    <row r="117" spans="1:18" x14ac:dyDescent="0.3">
      <c r="A117" t="s">
        <v>266</v>
      </c>
      <c r="B117">
        <v>46078</v>
      </c>
      <c r="C117" t="s">
        <v>267</v>
      </c>
      <c r="D117" t="s">
        <v>41</v>
      </c>
      <c r="E117" t="s">
        <v>20</v>
      </c>
      <c r="F117" t="s">
        <v>33</v>
      </c>
      <c r="G117" t="s">
        <v>22</v>
      </c>
      <c r="H117" t="s">
        <v>42</v>
      </c>
      <c r="I117">
        <v>355.78</v>
      </c>
      <c r="J117">
        <v>1</v>
      </c>
      <c r="K117">
        <v>17.79</v>
      </c>
      <c r="L117">
        <v>373.57</v>
      </c>
      <c r="M117">
        <v>301.83999999999997</v>
      </c>
      <c r="N117">
        <v>71.73</v>
      </c>
      <c r="O117">
        <v>19.2</v>
      </c>
      <c r="P117" t="s">
        <v>24</v>
      </c>
      <c r="Q117">
        <v>8.4</v>
      </c>
      <c r="R117" t="str">
        <f t="shared" si="1"/>
        <v>February</v>
      </c>
    </row>
    <row r="118" spans="1:18" x14ac:dyDescent="0.3">
      <c r="A118" t="s">
        <v>268</v>
      </c>
      <c r="B118">
        <v>46079</v>
      </c>
      <c r="C118" t="s">
        <v>269</v>
      </c>
      <c r="D118" t="s">
        <v>19</v>
      </c>
      <c r="E118" t="s">
        <v>20</v>
      </c>
      <c r="F118" t="s">
        <v>21</v>
      </c>
      <c r="G118" t="s">
        <v>22</v>
      </c>
      <c r="H118" t="s">
        <v>42</v>
      </c>
      <c r="I118">
        <v>409.97</v>
      </c>
      <c r="J118">
        <v>1</v>
      </c>
      <c r="K118">
        <v>20.5</v>
      </c>
      <c r="L118">
        <v>430.47</v>
      </c>
      <c r="M118">
        <v>312.62</v>
      </c>
      <c r="N118">
        <v>117.85</v>
      </c>
      <c r="O118">
        <v>27.38</v>
      </c>
      <c r="P118" t="s">
        <v>38</v>
      </c>
      <c r="Q118">
        <v>7.5</v>
      </c>
      <c r="R118" t="str">
        <f t="shared" si="1"/>
        <v>February</v>
      </c>
    </row>
    <row r="119" spans="1:18" x14ac:dyDescent="0.3">
      <c r="A119" t="s">
        <v>270</v>
      </c>
      <c r="B119">
        <v>46079</v>
      </c>
      <c r="C119" t="s">
        <v>187</v>
      </c>
      <c r="D119" t="s">
        <v>51</v>
      </c>
      <c r="E119" t="s">
        <v>51</v>
      </c>
      <c r="F119" t="s">
        <v>33</v>
      </c>
      <c r="G119" t="s">
        <v>22</v>
      </c>
      <c r="H119" t="s">
        <v>34</v>
      </c>
      <c r="I119">
        <v>89.28</v>
      </c>
      <c r="J119">
        <v>6</v>
      </c>
      <c r="K119">
        <v>26.78</v>
      </c>
      <c r="L119">
        <v>562.46</v>
      </c>
      <c r="M119">
        <v>435.78</v>
      </c>
      <c r="N119">
        <v>126.68</v>
      </c>
      <c r="O119">
        <v>22.52</v>
      </c>
      <c r="P119" t="s">
        <v>29</v>
      </c>
      <c r="Q119">
        <v>6.6</v>
      </c>
      <c r="R119" t="str">
        <f t="shared" si="1"/>
        <v>February</v>
      </c>
    </row>
    <row r="120" spans="1:18" x14ac:dyDescent="0.3">
      <c r="A120" t="s">
        <v>271</v>
      </c>
      <c r="B120">
        <v>46080</v>
      </c>
      <c r="C120" t="s">
        <v>272</v>
      </c>
      <c r="D120" t="s">
        <v>59</v>
      </c>
      <c r="E120" t="s">
        <v>59</v>
      </c>
      <c r="F120" t="s">
        <v>33</v>
      </c>
      <c r="G120" t="s">
        <v>27</v>
      </c>
      <c r="H120" t="s">
        <v>45</v>
      </c>
      <c r="I120">
        <v>284.37</v>
      </c>
      <c r="J120">
        <v>10</v>
      </c>
      <c r="K120">
        <v>142.18</v>
      </c>
      <c r="L120">
        <v>2985.88</v>
      </c>
      <c r="M120">
        <v>2235.52</v>
      </c>
      <c r="N120">
        <v>750.36</v>
      </c>
      <c r="O120">
        <v>25.13</v>
      </c>
      <c r="P120" t="s">
        <v>29</v>
      </c>
      <c r="Q120">
        <v>7.9</v>
      </c>
      <c r="R120" t="str">
        <f t="shared" si="1"/>
        <v>February</v>
      </c>
    </row>
    <row r="121" spans="1:18" x14ac:dyDescent="0.3">
      <c r="A121" t="s">
        <v>273</v>
      </c>
      <c r="B121">
        <v>46081</v>
      </c>
      <c r="C121" t="s">
        <v>219</v>
      </c>
      <c r="D121" t="s">
        <v>59</v>
      </c>
      <c r="E121" t="s">
        <v>59</v>
      </c>
      <c r="F121" t="s">
        <v>21</v>
      </c>
      <c r="G121" t="s">
        <v>22</v>
      </c>
      <c r="H121" t="s">
        <v>72</v>
      </c>
      <c r="I121">
        <v>162.55000000000001</v>
      </c>
      <c r="J121">
        <v>4</v>
      </c>
      <c r="K121">
        <v>32.51</v>
      </c>
      <c r="L121">
        <v>682.71</v>
      </c>
      <c r="M121">
        <v>472.77</v>
      </c>
      <c r="N121">
        <v>209.94</v>
      </c>
      <c r="O121">
        <v>30.75</v>
      </c>
      <c r="P121" t="s">
        <v>38</v>
      </c>
      <c r="Q121">
        <v>8.6999999999999993</v>
      </c>
      <c r="R121" t="str">
        <f t="shared" si="1"/>
        <v>February</v>
      </c>
    </row>
    <row r="122" spans="1:18" x14ac:dyDescent="0.3">
      <c r="A122" t="s">
        <v>274</v>
      </c>
      <c r="B122">
        <v>46082</v>
      </c>
      <c r="C122" t="s">
        <v>275</v>
      </c>
      <c r="D122" t="s">
        <v>41</v>
      </c>
      <c r="E122" t="s">
        <v>20</v>
      </c>
      <c r="F122" t="s">
        <v>21</v>
      </c>
      <c r="G122" t="s">
        <v>27</v>
      </c>
      <c r="H122" t="s">
        <v>45</v>
      </c>
      <c r="I122">
        <v>276.55</v>
      </c>
      <c r="J122">
        <v>6</v>
      </c>
      <c r="K122">
        <v>82.97</v>
      </c>
      <c r="L122">
        <v>1742.27</v>
      </c>
      <c r="M122">
        <v>1265.1400000000001</v>
      </c>
      <c r="N122">
        <v>477.13</v>
      </c>
      <c r="O122">
        <v>27.39</v>
      </c>
      <c r="P122" t="s">
        <v>29</v>
      </c>
      <c r="Q122">
        <v>7.8</v>
      </c>
      <c r="R122" t="str">
        <f t="shared" si="1"/>
        <v>March</v>
      </c>
    </row>
    <row r="123" spans="1:18" x14ac:dyDescent="0.3">
      <c r="A123" t="s">
        <v>276</v>
      </c>
      <c r="B123">
        <v>46085</v>
      </c>
      <c r="C123" t="s">
        <v>277</v>
      </c>
      <c r="D123" t="s">
        <v>59</v>
      </c>
      <c r="E123" t="s">
        <v>59</v>
      </c>
      <c r="F123" t="s">
        <v>21</v>
      </c>
      <c r="G123" t="s">
        <v>22</v>
      </c>
      <c r="H123" t="s">
        <v>34</v>
      </c>
      <c r="I123">
        <v>88.16</v>
      </c>
      <c r="J123">
        <v>9</v>
      </c>
      <c r="K123">
        <v>39.67</v>
      </c>
      <c r="L123">
        <v>833.11</v>
      </c>
      <c r="M123">
        <v>621.66999999999996</v>
      </c>
      <c r="N123">
        <v>211.44</v>
      </c>
      <c r="O123">
        <v>25.38</v>
      </c>
      <c r="P123" t="s">
        <v>29</v>
      </c>
      <c r="Q123">
        <v>7</v>
      </c>
      <c r="R123" t="str">
        <f t="shared" si="1"/>
        <v>March</v>
      </c>
    </row>
    <row r="124" spans="1:18" x14ac:dyDescent="0.3">
      <c r="A124" t="s">
        <v>278</v>
      </c>
      <c r="B124">
        <v>46085</v>
      </c>
      <c r="C124" t="s">
        <v>279</v>
      </c>
      <c r="D124" t="s">
        <v>51</v>
      </c>
      <c r="E124" t="s">
        <v>51</v>
      </c>
      <c r="F124" t="s">
        <v>33</v>
      </c>
      <c r="G124" t="s">
        <v>27</v>
      </c>
      <c r="H124" t="s">
        <v>45</v>
      </c>
      <c r="I124">
        <v>186</v>
      </c>
      <c r="J124">
        <v>2</v>
      </c>
      <c r="K124">
        <v>18.600000000000001</v>
      </c>
      <c r="L124">
        <v>390.6</v>
      </c>
      <c r="M124">
        <v>281.08999999999997</v>
      </c>
      <c r="N124">
        <v>109.51</v>
      </c>
      <c r="O124">
        <v>28.04</v>
      </c>
      <c r="P124" t="s">
        <v>35</v>
      </c>
      <c r="Q124">
        <v>8.6999999999999993</v>
      </c>
      <c r="R124" t="str">
        <f t="shared" si="1"/>
        <v>March</v>
      </c>
    </row>
    <row r="125" spans="1:18" x14ac:dyDescent="0.3">
      <c r="A125" t="s">
        <v>280</v>
      </c>
      <c r="B125">
        <v>46086</v>
      </c>
      <c r="C125" t="s">
        <v>281</v>
      </c>
      <c r="D125" t="s">
        <v>19</v>
      </c>
      <c r="E125" t="s">
        <v>20</v>
      </c>
      <c r="F125" t="s">
        <v>21</v>
      </c>
      <c r="G125" t="s">
        <v>22</v>
      </c>
      <c r="H125" t="s">
        <v>28</v>
      </c>
      <c r="I125">
        <v>99.68</v>
      </c>
      <c r="J125">
        <v>7</v>
      </c>
      <c r="K125">
        <v>34.89</v>
      </c>
      <c r="L125">
        <v>732.65</v>
      </c>
      <c r="M125">
        <v>611.04</v>
      </c>
      <c r="N125">
        <v>121.61</v>
      </c>
      <c r="O125">
        <v>16.600000000000001</v>
      </c>
      <c r="P125" t="s">
        <v>38</v>
      </c>
      <c r="Q125">
        <v>8.6</v>
      </c>
      <c r="R125" t="str">
        <f t="shared" si="1"/>
        <v>March</v>
      </c>
    </row>
    <row r="126" spans="1:18" x14ac:dyDescent="0.3">
      <c r="A126" t="s">
        <v>282</v>
      </c>
      <c r="B126">
        <v>46087</v>
      </c>
      <c r="C126" t="s">
        <v>283</v>
      </c>
      <c r="D126" t="s">
        <v>32</v>
      </c>
      <c r="E126" t="s">
        <v>32</v>
      </c>
      <c r="F126" t="s">
        <v>33</v>
      </c>
      <c r="G126" t="s">
        <v>27</v>
      </c>
      <c r="H126" t="s">
        <v>45</v>
      </c>
      <c r="I126">
        <v>262.27</v>
      </c>
      <c r="J126">
        <v>1</v>
      </c>
      <c r="K126">
        <v>13.11</v>
      </c>
      <c r="L126">
        <v>275.38</v>
      </c>
      <c r="M126">
        <v>195.22</v>
      </c>
      <c r="N126">
        <v>80.16</v>
      </c>
      <c r="O126">
        <v>29.11</v>
      </c>
      <c r="P126" t="s">
        <v>46</v>
      </c>
      <c r="Q126">
        <v>7.4</v>
      </c>
      <c r="R126" t="str">
        <f t="shared" si="1"/>
        <v>March</v>
      </c>
    </row>
    <row r="127" spans="1:18" x14ac:dyDescent="0.3">
      <c r="A127" t="s">
        <v>284</v>
      </c>
      <c r="B127">
        <v>46088</v>
      </c>
      <c r="C127" t="s">
        <v>285</v>
      </c>
      <c r="D127" t="s">
        <v>41</v>
      </c>
      <c r="E127" t="s">
        <v>20</v>
      </c>
      <c r="F127" t="s">
        <v>33</v>
      </c>
      <c r="G127" t="s">
        <v>22</v>
      </c>
      <c r="H127" t="s">
        <v>52</v>
      </c>
      <c r="I127">
        <v>54.35</v>
      </c>
      <c r="J127">
        <v>7</v>
      </c>
      <c r="K127">
        <v>19.02</v>
      </c>
      <c r="L127">
        <v>399.47</v>
      </c>
      <c r="M127">
        <v>271.56</v>
      </c>
      <c r="N127">
        <v>127.91</v>
      </c>
      <c r="O127">
        <v>32.020000000000003</v>
      </c>
      <c r="P127" t="s">
        <v>46</v>
      </c>
      <c r="Q127">
        <v>8.3000000000000007</v>
      </c>
      <c r="R127" t="str">
        <f t="shared" si="1"/>
        <v>March</v>
      </c>
    </row>
    <row r="128" spans="1:18" x14ac:dyDescent="0.3">
      <c r="A128" t="s">
        <v>286</v>
      </c>
      <c r="B128">
        <v>46088</v>
      </c>
      <c r="C128" t="s">
        <v>287</v>
      </c>
      <c r="D128" t="s">
        <v>32</v>
      </c>
      <c r="E128" t="s">
        <v>32</v>
      </c>
      <c r="F128" t="s">
        <v>21</v>
      </c>
      <c r="G128" t="s">
        <v>22</v>
      </c>
      <c r="H128" t="s">
        <v>34</v>
      </c>
      <c r="I128">
        <v>99.12</v>
      </c>
      <c r="J128">
        <v>1</v>
      </c>
      <c r="K128">
        <v>4.96</v>
      </c>
      <c r="L128">
        <v>104.08</v>
      </c>
      <c r="M128">
        <v>74.95</v>
      </c>
      <c r="N128">
        <v>29.13</v>
      </c>
      <c r="O128">
        <v>27.99</v>
      </c>
      <c r="P128" t="s">
        <v>24</v>
      </c>
      <c r="Q128">
        <v>6.5</v>
      </c>
      <c r="R128" t="str">
        <f t="shared" si="1"/>
        <v>March</v>
      </c>
    </row>
    <row r="129" spans="1:18" x14ac:dyDescent="0.3">
      <c r="A129" t="s">
        <v>288</v>
      </c>
      <c r="B129">
        <v>46088</v>
      </c>
      <c r="C129" t="s">
        <v>159</v>
      </c>
      <c r="D129" t="s">
        <v>59</v>
      </c>
      <c r="E129" t="s">
        <v>59</v>
      </c>
      <c r="F129" t="s">
        <v>33</v>
      </c>
      <c r="G129" t="s">
        <v>27</v>
      </c>
      <c r="H129" t="s">
        <v>34</v>
      </c>
      <c r="I129">
        <v>81.61</v>
      </c>
      <c r="J129">
        <v>3</v>
      </c>
      <c r="K129">
        <v>12.24</v>
      </c>
      <c r="L129">
        <v>257.07</v>
      </c>
      <c r="M129">
        <v>188.82</v>
      </c>
      <c r="N129">
        <v>68.25</v>
      </c>
      <c r="O129">
        <v>26.55</v>
      </c>
      <c r="P129" t="s">
        <v>29</v>
      </c>
      <c r="Q129">
        <v>5.0999999999999996</v>
      </c>
      <c r="R129" t="str">
        <f t="shared" si="1"/>
        <v>March</v>
      </c>
    </row>
    <row r="130" spans="1:18" x14ac:dyDescent="0.3">
      <c r="A130" t="s">
        <v>289</v>
      </c>
      <c r="B130">
        <v>46089</v>
      </c>
      <c r="C130" t="s">
        <v>290</v>
      </c>
      <c r="D130" t="s">
        <v>32</v>
      </c>
      <c r="E130" t="s">
        <v>32</v>
      </c>
      <c r="F130" t="s">
        <v>21</v>
      </c>
      <c r="G130" t="s">
        <v>22</v>
      </c>
      <c r="H130" t="s">
        <v>28</v>
      </c>
      <c r="I130">
        <v>107.72</v>
      </c>
      <c r="J130">
        <v>8</v>
      </c>
      <c r="K130">
        <v>43.09</v>
      </c>
      <c r="L130">
        <v>904.85</v>
      </c>
      <c r="M130">
        <v>661.13</v>
      </c>
      <c r="N130">
        <v>243.72</v>
      </c>
      <c r="O130">
        <v>26.93</v>
      </c>
      <c r="P130" t="s">
        <v>29</v>
      </c>
      <c r="Q130">
        <v>8.9</v>
      </c>
      <c r="R130" t="str">
        <f t="shared" si="1"/>
        <v>March</v>
      </c>
    </row>
    <row r="131" spans="1:18" x14ac:dyDescent="0.3">
      <c r="A131" t="s">
        <v>291</v>
      </c>
      <c r="B131">
        <v>46089</v>
      </c>
      <c r="C131" t="s">
        <v>292</v>
      </c>
      <c r="D131" t="s">
        <v>19</v>
      </c>
      <c r="E131" t="s">
        <v>20</v>
      </c>
      <c r="F131" t="s">
        <v>21</v>
      </c>
      <c r="G131" t="s">
        <v>27</v>
      </c>
      <c r="H131" t="s">
        <v>34</v>
      </c>
      <c r="I131">
        <v>95.51</v>
      </c>
      <c r="J131">
        <v>7</v>
      </c>
      <c r="K131">
        <v>33.43</v>
      </c>
      <c r="L131">
        <v>702</v>
      </c>
      <c r="M131">
        <v>553.05999999999995</v>
      </c>
      <c r="N131">
        <v>148.94</v>
      </c>
      <c r="O131">
        <v>21.22</v>
      </c>
      <c r="P131" t="s">
        <v>35</v>
      </c>
      <c r="Q131">
        <v>5.9</v>
      </c>
      <c r="R131" t="str">
        <f t="shared" ref="R131:R194" si="2">TEXT(B131,"mmmm")</f>
        <v>March</v>
      </c>
    </row>
    <row r="132" spans="1:18" x14ac:dyDescent="0.3">
      <c r="A132" t="s">
        <v>293</v>
      </c>
      <c r="B132">
        <v>46090</v>
      </c>
      <c r="C132" t="s">
        <v>294</v>
      </c>
      <c r="D132" t="s">
        <v>41</v>
      </c>
      <c r="E132" t="s">
        <v>20</v>
      </c>
      <c r="F132" t="s">
        <v>21</v>
      </c>
      <c r="G132" t="s">
        <v>22</v>
      </c>
      <c r="H132" t="s">
        <v>23</v>
      </c>
      <c r="I132">
        <v>122.29</v>
      </c>
      <c r="J132">
        <v>4</v>
      </c>
      <c r="K132">
        <v>24.46</v>
      </c>
      <c r="L132">
        <v>513.62</v>
      </c>
      <c r="M132">
        <v>381.07</v>
      </c>
      <c r="N132">
        <v>132.55000000000001</v>
      </c>
      <c r="O132">
        <v>25.81</v>
      </c>
      <c r="P132" t="s">
        <v>24</v>
      </c>
      <c r="Q132">
        <v>7.4</v>
      </c>
      <c r="R132" t="str">
        <f t="shared" si="2"/>
        <v>March</v>
      </c>
    </row>
    <row r="133" spans="1:18" x14ac:dyDescent="0.3">
      <c r="A133" t="s">
        <v>295</v>
      </c>
      <c r="B133">
        <v>46090</v>
      </c>
      <c r="C133" t="s">
        <v>296</v>
      </c>
      <c r="D133" t="s">
        <v>59</v>
      </c>
      <c r="E133" t="s">
        <v>59</v>
      </c>
      <c r="F133" t="s">
        <v>33</v>
      </c>
      <c r="G133" t="s">
        <v>22</v>
      </c>
      <c r="H133" t="s">
        <v>99</v>
      </c>
      <c r="I133">
        <v>126.65</v>
      </c>
      <c r="J133">
        <v>7</v>
      </c>
      <c r="K133">
        <v>44.33</v>
      </c>
      <c r="L133">
        <v>930.88</v>
      </c>
      <c r="M133">
        <v>635.64</v>
      </c>
      <c r="N133">
        <v>295.24</v>
      </c>
      <c r="O133">
        <v>31.72</v>
      </c>
      <c r="P133" t="s">
        <v>35</v>
      </c>
      <c r="Q133">
        <v>6.4</v>
      </c>
      <c r="R133" t="str">
        <f t="shared" si="2"/>
        <v>March</v>
      </c>
    </row>
    <row r="134" spans="1:18" x14ac:dyDescent="0.3">
      <c r="A134" t="s">
        <v>297</v>
      </c>
      <c r="B134">
        <v>46092</v>
      </c>
      <c r="C134" t="s">
        <v>298</v>
      </c>
      <c r="D134" t="s">
        <v>51</v>
      </c>
      <c r="E134" t="s">
        <v>51</v>
      </c>
      <c r="F134" t="s">
        <v>33</v>
      </c>
      <c r="G134" t="s">
        <v>22</v>
      </c>
      <c r="H134" t="s">
        <v>42</v>
      </c>
      <c r="I134">
        <v>462.16</v>
      </c>
      <c r="J134">
        <v>8</v>
      </c>
      <c r="K134">
        <v>184.86</v>
      </c>
      <c r="L134">
        <v>3882.14</v>
      </c>
      <c r="M134">
        <v>3176.66</v>
      </c>
      <c r="N134">
        <v>705.48</v>
      </c>
      <c r="O134">
        <v>18.170000000000002</v>
      </c>
      <c r="P134" t="s">
        <v>46</v>
      </c>
      <c r="Q134">
        <v>7.6</v>
      </c>
      <c r="R134" t="str">
        <f t="shared" si="2"/>
        <v>March</v>
      </c>
    </row>
    <row r="135" spans="1:18" x14ac:dyDescent="0.3">
      <c r="A135" t="s">
        <v>299</v>
      </c>
      <c r="B135">
        <v>46092</v>
      </c>
      <c r="C135" t="s">
        <v>300</v>
      </c>
      <c r="D135" t="s">
        <v>19</v>
      </c>
      <c r="E135" t="s">
        <v>20</v>
      </c>
      <c r="F135" t="s">
        <v>21</v>
      </c>
      <c r="G135" t="s">
        <v>22</v>
      </c>
      <c r="H135" t="s">
        <v>34</v>
      </c>
      <c r="I135">
        <v>89.2</v>
      </c>
      <c r="J135">
        <v>7</v>
      </c>
      <c r="K135">
        <v>31.22</v>
      </c>
      <c r="L135">
        <v>655.62</v>
      </c>
      <c r="M135">
        <v>465.49</v>
      </c>
      <c r="N135">
        <v>190.13</v>
      </c>
      <c r="O135">
        <v>29</v>
      </c>
      <c r="P135" t="s">
        <v>46</v>
      </c>
      <c r="Q135">
        <v>8.6</v>
      </c>
      <c r="R135" t="str">
        <f t="shared" si="2"/>
        <v>March</v>
      </c>
    </row>
    <row r="136" spans="1:18" x14ac:dyDescent="0.3">
      <c r="A136" t="s">
        <v>301</v>
      </c>
      <c r="B136">
        <v>46093</v>
      </c>
      <c r="C136" t="s">
        <v>302</v>
      </c>
      <c r="D136" t="s">
        <v>59</v>
      </c>
      <c r="E136" t="s">
        <v>59</v>
      </c>
      <c r="F136" t="s">
        <v>21</v>
      </c>
      <c r="G136" t="s">
        <v>27</v>
      </c>
      <c r="H136" t="s">
        <v>34</v>
      </c>
      <c r="I136">
        <v>69.599999999999994</v>
      </c>
      <c r="J136">
        <v>9</v>
      </c>
      <c r="K136">
        <v>31.32</v>
      </c>
      <c r="L136">
        <v>657.72</v>
      </c>
      <c r="M136">
        <v>442.43</v>
      </c>
      <c r="N136">
        <v>215.29</v>
      </c>
      <c r="O136">
        <v>32.729999999999997</v>
      </c>
      <c r="P136" t="s">
        <v>35</v>
      </c>
      <c r="Q136">
        <v>7.8</v>
      </c>
      <c r="R136" t="str">
        <f t="shared" si="2"/>
        <v>March</v>
      </c>
    </row>
    <row r="137" spans="1:18" x14ac:dyDescent="0.3">
      <c r="A137" t="s">
        <v>303</v>
      </c>
      <c r="B137">
        <v>46093</v>
      </c>
      <c r="C137" t="s">
        <v>304</v>
      </c>
      <c r="D137" t="s">
        <v>32</v>
      </c>
      <c r="E137" t="s">
        <v>32</v>
      </c>
      <c r="F137" t="s">
        <v>21</v>
      </c>
      <c r="G137" t="s">
        <v>22</v>
      </c>
      <c r="H137" t="s">
        <v>45</v>
      </c>
      <c r="I137">
        <v>180.07</v>
      </c>
      <c r="J137">
        <v>9</v>
      </c>
      <c r="K137">
        <v>81.03</v>
      </c>
      <c r="L137">
        <v>1701.66</v>
      </c>
      <c r="M137">
        <v>1209.77</v>
      </c>
      <c r="N137">
        <v>491.89</v>
      </c>
      <c r="O137">
        <v>28.91</v>
      </c>
      <c r="P137" t="s">
        <v>35</v>
      </c>
      <c r="Q137">
        <v>8.6999999999999993</v>
      </c>
      <c r="R137" t="str">
        <f t="shared" si="2"/>
        <v>March</v>
      </c>
    </row>
    <row r="138" spans="1:18" x14ac:dyDescent="0.3">
      <c r="A138" t="s">
        <v>305</v>
      </c>
      <c r="B138">
        <v>46093</v>
      </c>
      <c r="C138" t="s">
        <v>306</v>
      </c>
      <c r="D138" t="s">
        <v>59</v>
      </c>
      <c r="E138" t="s">
        <v>59</v>
      </c>
      <c r="F138" t="s">
        <v>21</v>
      </c>
      <c r="G138" t="s">
        <v>27</v>
      </c>
      <c r="H138" t="s">
        <v>45</v>
      </c>
      <c r="I138">
        <v>146.18</v>
      </c>
      <c r="J138">
        <v>8</v>
      </c>
      <c r="K138">
        <v>58.47</v>
      </c>
      <c r="L138">
        <v>1227.9100000000001</v>
      </c>
      <c r="M138">
        <v>909.79</v>
      </c>
      <c r="N138">
        <v>318.12</v>
      </c>
      <c r="O138">
        <v>25.91</v>
      </c>
      <c r="P138" t="s">
        <v>46</v>
      </c>
      <c r="Q138">
        <v>7.5</v>
      </c>
      <c r="R138" t="str">
        <f t="shared" si="2"/>
        <v>March</v>
      </c>
    </row>
    <row r="139" spans="1:18" x14ac:dyDescent="0.3">
      <c r="A139" t="s">
        <v>307</v>
      </c>
      <c r="B139">
        <v>46094</v>
      </c>
      <c r="C139" t="s">
        <v>308</v>
      </c>
      <c r="D139" t="s">
        <v>19</v>
      </c>
      <c r="E139" t="s">
        <v>20</v>
      </c>
      <c r="F139" t="s">
        <v>21</v>
      </c>
      <c r="G139" t="s">
        <v>22</v>
      </c>
      <c r="H139" t="s">
        <v>45</v>
      </c>
      <c r="I139">
        <v>229.32</v>
      </c>
      <c r="J139">
        <v>8</v>
      </c>
      <c r="K139">
        <v>91.73</v>
      </c>
      <c r="L139">
        <v>1926.29</v>
      </c>
      <c r="M139">
        <v>1496.38</v>
      </c>
      <c r="N139">
        <v>429.91</v>
      </c>
      <c r="O139">
        <v>22.32</v>
      </c>
      <c r="P139" t="s">
        <v>46</v>
      </c>
      <c r="Q139">
        <v>8.1999999999999993</v>
      </c>
      <c r="R139" t="str">
        <f t="shared" si="2"/>
        <v>March</v>
      </c>
    </row>
    <row r="140" spans="1:18" x14ac:dyDescent="0.3">
      <c r="A140" t="s">
        <v>309</v>
      </c>
      <c r="B140">
        <v>46095</v>
      </c>
      <c r="C140" t="s">
        <v>310</v>
      </c>
      <c r="D140" t="s">
        <v>19</v>
      </c>
      <c r="E140" t="s">
        <v>20</v>
      </c>
      <c r="F140" t="s">
        <v>33</v>
      </c>
      <c r="G140" t="s">
        <v>27</v>
      </c>
      <c r="H140" t="s">
        <v>72</v>
      </c>
      <c r="I140">
        <v>234.23</v>
      </c>
      <c r="J140">
        <v>4</v>
      </c>
      <c r="K140">
        <v>46.85</v>
      </c>
      <c r="L140">
        <v>983.77</v>
      </c>
      <c r="M140">
        <v>802.5</v>
      </c>
      <c r="N140">
        <v>181.27</v>
      </c>
      <c r="O140">
        <v>18.43</v>
      </c>
      <c r="P140" t="s">
        <v>29</v>
      </c>
      <c r="Q140">
        <v>5.4</v>
      </c>
      <c r="R140" t="str">
        <f t="shared" si="2"/>
        <v>March</v>
      </c>
    </row>
    <row r="141" spans="1:18" x14ac:dyDescent="0.3">
      <c r="A141" t="s">
        <v>311</v>
      </c>
      <c r="B141">
        <v>46095</v>
      </c>
      <c r="C141" t="s">
        <v>312</v>
      </c>
      <c r="D141" t="s">
        <v>19</v>
      </c>
      <c r="E141" t="s">
        <v>20</v>
      </c>
      <c r="F141" t="s">
        <v>33</v>
      </c>
      <c r="G141" t="s">
        <v>22</v>
      </c>
      <c r="H141" t="s">
        <v>52</v>
      </c>
      <c r="I141">
        <v>115.44</v>
      </c>
      <c r="J141">
        <v>2</v>
      </c>
      <c r="K141">
        <v>11.54</v>
      </c>
      <c r="L141">
        <v>242.42</v>
      </c>
      <c r="M141">
        <v>187.53</v>
      </c>
      <c r="N141">
        <v>54.89</v>
      </c>
      <c r="O141">
        <v>22.64</v>
      </c>
      <c r="P141" t="s">
        <v>24</v>
      </c>
      <c r="Q141">
        <v>6.4</v>
      </c>
      <c r="R141" t="str">
        <f t="shared" si="2"/>
        <v>March</v>
      </c>
    </row>
    <row r="142" spans="1:18" x14ac:dyDescent="0.3">
      <c r="A142" t="s">
        <v>313</v>
      </c>
      <c r="B142">
        <v>46096</v>
      </c>
      <c r="C142" t="s">
        <v>314</v>
      </c>
      <c r="D142" t="s">
        <v>59</v>
      </c>
      <c r="E142" t="s">
        <v>59</v>
      </c>
      <c r="F142" t="s">
        <v>21</v>
      </c>
      <c r="G142" t="s">
        <v>27</v>
      </c>
      <c r="H142" t="s">
        <v>72</v>
      </c>
      <c r="I142">
        <v>220.46</v>
      </c>
      <c r="J142">
        <v>4</v>
      </c>
      <c r="K142">
        <v>44.09</v>
      </c>
      <c r="L142">
        <v>925.93</v>
      </c>
      <c r="M142">
        <v>751.88</v>
      </c>
      <c r="N142">
        <v>174.05</v>
      </c>
      <c r="O142">
        <v>18.8</v>
      </c>
      <c r="P142" t="s">
        <v>38</v>
      </c>
      <c r="Q142">
        <v>6</v>
      </c>
      <c r="R142" t="str">
        <f t="shared" si="2"/>
        <v>March</v>
      </c>
    </row>
    <row r="143" spans="1:18" x14ac:dyDescent="0.3">
      <c r="A143" t="s">
        <v>315</v>
      </c>
      <c r="B143">
        <v>46097</v>
      </c>
      <c r="C143" t="s">
        <v>316</v>
      </c>
      <c r="D143" t="s">
        <v>41</v>
      </c>
      <c r="E143" t="s">
        <v>20</v>
      </c>
      <c r="F143" t="s">
        <v>33</v>
      </c>
      <c r="G143" t="s">
        <v>27</v>
      </c>
      <c r="H143" t="s">
        <v>99</v>
      </c>
      <c r="I143">
        <v>107.94</v>
      </c>
      <c r="J143">
        <v>6</v>
      </c>
      <c r="K143">
        <v>32.380000000000003</v>
      </c>
      <c r="L143">
        <v>680.02</v>
      </c>
      <c r="M143">
        <v>489.68</v>
      </c>
      <c r="N143">
        <v>190.34</v>
      </c>
      <c r="O143">
        <v>27.99</v>
      </c>
      <c r="P143" t="s">
        <v>35</v>
      </c>
      <c r="Q143">
        <v>7.1</v>
      </c>
      <c r="R143" t="str">
        <f t="shared" si="2"/>
        <v>March</v>
      </c>
    </row>
    <row r="144" spans="1:18" x14ac:dyDescent="0.3">
      <c r="A144" t="s">
        <v>317</v>
      </c>
      <c r="B144">
        <v>46097</v>
      </c>
      <c r="C144" t="s">
        <v>318</v>
      </c>
      <c r="D144" t="s">
        <v>32</v>
      </c>
      <c r="E144" t="s">
        <v>32</v>
      </c>
      <c r="F144" t="s">
        <v>33</v>
      </c>
      <c r="G144" t="s">
        <v>22</v>
      </c>
      <c r="H144" t="s">
        <v>34</v>
      </c>
      <c r="I144">
        <v>86.86</v>
      </c>
      <c r="J144">
        <v>4</v>
      </c>
      <c r="K144">
        <v>17.37</v>
      </c>
      <c r="L144">
        <v>364.81</v>
      </c>
      <c r="M144">
        <v>270.83</v>
      </c>
      <c r="N144">
        <v>93.98</v>
      </c>
      <c r="O144">
        <v>25.76</v>
      </c>
      <c r="P144" t="s">
        <v>29</v>
      </c>
      <c r="Q144">
        <v>5.0999999999999996</v>
      </c>
      <c r="R144" t="str">
        <f t="shared" si="2"/>
        <v>March</v>
      </c>
    </row>
    <row r="145" spans="1:18" x14ac:dyDescent="0.3">
      <c r="A145" t="s">
        <v>319</v>
      </c>
      <c r="B145">
        <v>46098</v>
      </c>
      <c r="C145" t="s">
        <v>320</v>
      </c>
      <c r="D145" t="s">
        <v>32</v>
      </c>
      <c r="E145" t="s">
        <v>32</v>
      </c>
      <c r="F145" t="s">
        <v>21</v>
      </c>
      <c r="G145" t="s">
        <v>22</v>
      </c>
      <c r="H145" t="s">
        <v>28</v>
      </c>
      <c r="I145">
        <v>147.16999999999999</v>
      </c>
      <c r="J145">
        <v>8</v>
      </c>
      <c r="K145">
        <v>58.87</v>
      </c>
      <c r="L145">
        <v>1236.23</v>
      </c>
      <c r="M145">
        <v>849.9</v>
      </c>
      <c r="N145">
        <v>386.33</v>
      </c>
      <c r="O145">
        <v>31.25</v>
      </c>
      <c r="P145" t="s">
        <v>46</v>
      </c>
      <c r="Q145">
        <v>6.6</v>
      </c>
      <c r="R145" t="str">
        <f t="shared" si="2"/>
        <v>March</v>
      </c>
    </row>
    <row r="146" spans="1:18" x14ac:dyDescent="0.3">
      <c r="A146" t="s">
        <v>321</v>
      </c>
      <c r="B146">
        <v>46098</v>
      </c>
      <c r="C146" t="s">
        <v>322</v>
      </c>
      <c r="D146" t="s">
        <v>19</v>
      </c>
      <c r="E146" t="s">
        <v>20</v>
      </c>
      <c r="F146" t="s">
        <v>33</v>
      </c>
      <c r="G146" t="s">
        <v>22</v>
      </c>
      <c r="H146" t="s">
        <v>42</v>
      </c>
      <c r="I146">
        <v>211.66</v>
      </c>
      <c r="J146">
        <v>1</v>
      </c>
      <c r="K146">
        <v>10.58</v>
      </c>
      <c r="L146">
        <v>222.24</v>
      </c>
      <c r="M146">
        <v>153.22</v>
      </c>
      <c r="N146">
        <v>69.02</v>
      </c>
      <c r="O146">
        <v>31.06</v>
      </c>
      <c r="P146" t="s">
        <v>24</v>
      </c>
      <c r="Q146">
        <v>8.1</v>
      </c>
      <c r="R146" t="str">
        <f t="shared" si="2"/>
        <v>March</v>
      </c>
    </row>
    <row r="147" spans="1:18" x14ac:dyDescent="0.3">
      <c r="A147" t="s">
        <v>323</v>
      </c>
      <c r="B147">
        <v>46098</v>
      </c>
      <c r="C147" t="s">
        <v>324</v>
      </c>
      <c r="D147" t="s">
        <v>51</v>
      </c>
      <c r="E147" t="s">
        <v>51</v>
      </c>
      <c r="F147" t="s">
        <v>21</v>
      </c>
      <c r="G147" t="s">
        <v>22</v>
      </c>
      <c r="H147" t="s">
        <v>28</v>
      </c>
      <c r="I147">
        <v>152.32</v>
      </c>
      <c r="J147">
        <v>9</v>
      </c>
      <c r="K147">
        <v>68.540000000000006</v>
      </c>
      <c r="L147">
        <v>1439.42</v>
      </c>
      <c r="M147">
        <v>1193.8399999999999</v>
      </c>
      <c r="N147">
        <v>245.58</v>
      </c>
      <c r="O147">
        <v>17.059999999999999</v>
      </c>
      <c r="P147" t="s">
        <v>35</v>
      </c>
      <c r="Q147">
        <v>8</v>
      </c>
      <c r="R147" t="str">
        <f t="shared" si="2"/>
        <v>March</v>
      </c>
    </row>
    <row r="148" spans="1:18" x14ac:dyDescent="0.3">
      <c r="A148" t="s">
        <v>325</v>
      </c>
      <c r="B148">
        <v>46099</v>
      </c>
      <c r="C148" t="s">
        <v>193</v>
      </c>
      <c r="D148" t="s">
        <v>19</v>
      </c>
      <c r="E148" t="s">
        <v>20</v>
      </c>
      <c r="F148" t="s">
        <v>33</v>
      </c>
      <c r="G148" t="s">
        <v>22</v>
      </c>
      <c r="H148" t="s">
        <v>99</v>
      </c>
      <c r="I148">
        <v>96.6</v>
      </c>
      <c r="J148">
        <v>4</v>
      </c>
      <c r="K148">
        <v>19.32</v>
      </c>
      <c r="L148">
        <v>405.72</v>
      </c>
      <c r="M148">
        <v>296.86</v>
      </c>
      <c r="N148">
        <v>108.86</v>
      </c>
      <c r="O148">
        <v>26.83</v>
      </c>
      <c r="P148" t="s">
        <v>46</v>
      </c>
      <c r="Q148">
        <v>8.3000000000000007</v>
      </c>
      <c r="R148" t="str">
        <f t="shared" si="2"/>
        <v>March</v>
      </c>
    </row>
    <row r="149" spans="1:18" x14ac:dyDescent="0.3">
      <c r="A149" t="s">
        <v>326</v>
      </c>
      <c r="B149">
        <v>46099</v>
      </c>
      <c r="C149" t="s">
        <v>327</v>
      </c>
      <c r="D149" t="s">
        <v>19</v>
      </c>
      <c r="E149" t="s">
        <v>20</v>
      </c>
      <c r="F149" t="s">
        <v>33</v>
      </c>
      <c r="G149" t="s">
        <v>22</v>
      </c>
      <c r="H149" t="s">
        <v>42</v>
      </c>
      <c r="I149">
        <v>349.75</v>
      </c>
      <c r="J149">
        <v>9</v>
      </c>
      <c r="K149">
        <v>157.38999999999999</v>
      </c>
      <c r="L149">
        <v>3305.14</v>
      </c>
      <c r="M149">
        <v>2607.54</v>
      </c>
      <c r="N149">
        <v>697.6</v>
      </c>
      <c r="O149">
        <v>21.11</v>
      </c>
      <c r="P149" t="s">
        <v>46</v>
      </c>
      <c r="Q149">
        <v>7.1</v>
      </c>
      <c r="R149" t="str">
        <f t="shared" si="2"/>
        <v>March</v>
      </c>
    </row>
    <row r="150" spans="1:18" x14ac:dyDescent="0.3">
      <c r="A150" t="s">
        <v>328</v>
      </c>
      <c r="B150">
        <v>46099</v>
      </c>
      <c r="C150" t="s">
        <v>329</v>
      </c>
      <c r="D150" t="s">
        <v>51</v>
      </c>
      <c r="E150" t="s">
        <v>51</v>
      </c>
      <c r="F150" t="s">
        <v>21</v>
      </c>
      <c r="G150" t="s">
        <v>22</v>
      </c>
      <c r="H150" t="s">
        <v>99</v>
      </c>
      <c r="I150">
        <v>84.73</v>
      </c>
      <c r="J150">
        <v>5</v>
      </c>
      <c r="K150">
        <v>21.18</v>
      </c>
      <c r="L150">
        <v>444.83</v>
      </c>
      <c r="M150">
        <v>308.66000000000003</v>
      </c>
      <c r="N150">
        <v>136.16999999999999</v>
      </c>
      <c r="O150">
        <v>30.61</v>
      </c>
      <c r="P150" t="s">
        <v>35</v>
      </c>
      <c r="Q150">
        <v>6.8</v>
      </c>
      <c r="R150" t="str">
        <f t="shared" si="2"/>
        <v>March</v>
      </c>
    </row>
    <row r="151" spans="1:18" x14ac:dyDescent="0.3">
      <c r="A151" t="s">
        <v>330</v>
      </c>
      <c r="B151">
        <v>46099</v>
      </c>
      <c r="C151" t="s">
        <v>331</v>
      </c>
      <c r="D151" t="s">
        <v>32</v>
      </c>
      <c r="E151" t="s">
        <v>32</v>
      </c>
      <c r="F151" t="s">
        <v>21</v>
      </c>
      <c r="G151" t="s">
        <v>22</v>
      </c>
      <c r="H151" t="s">
        <v>72</v>
      </c>
      <c r="I151">
        <v>251.77</v>
      </c>
      <c r="J151">
        <v>1</v>
      </c>
      <c r="K151">
        <v>12.59</v>
      </c>
      <c r="L151">
        <v>264.36</v>
      </c>
      <c r="M151">
        <v>177.37</v>
      </c>
      <c r="N151">
        <v>86.99</v>
      </c>
      <c r="O151">
        <v>32.909999999999997</v>
      </c>
      <c r="P151" t="s">
        <v>46</v>
      </c>
      <c r="Q151">
        <v>7.6</v>
      </c>
      <c r="R151" t="str">
        <f t="shared" si="2"/>
        <v>March</v>
      </c>
    </row>
    <row r="152" spans="1:18" x14ac:dyDescent="0.3">
      <c r="A152" t="s">
        <v>332</v>
      </c>
      <c r="B152">
        <v>46099</v>
      </c>
      <c r="C152" t="s">
        <v>189</v>
      </c>
      <c r="D152" t="s">
        <v>41</v>
      </c>
      <c r="E152" t="s">
        <v>20</v>
      </c>
      <c r="F152" t="s">
        <v>21</v>
      </c>
      <c r="G152" t="s">
        <v>22</v>
      </c>
      <c r="H152" t="s">
        <v>72</v>
      </c>
      <c r="I152">
        <v>229.9</v>
      </c>
      <c r="J152">
        <v>2</v>
      </c>
      <c r="K152">
        <v>22.99</v>
      </c>
      <c r="L152">
        <v>482.79</v>
      </c>
      <c r="M152">
        <v>339.76</v>
      </c>
      <c r="N152">
        <v>143.03</v>
      </c>
      <c r="O152">
        <v>29.63</v>
      </c>
      <c r="P152" t="s">
        <v>24</v>
      </c>
      <c r="Q152">
        <v>9.6999999999999993</v>
      </c>
      <c r="R152" t="str">
        <f t="shared" si="2"/>
        <v>March</v>
      </c>
    </row>
    <row r="153" spans="1:18" x14ac:dyDescent="0.3">
      <c r="A153" t="s">
        <v>333</v>
      </c>
      <c r="B153">
        <v>46099</v>
      </c>
      <c r="C153" t="s">
        <v>318</v>
      </c>
      <c r="D153" t="s">
        <v>32</v>
      </c>
      <c r="E153" t="s">
        <v>32</v>
      </c>
      <c r="F153" t="s">
        <v>21</v>
      </c>
      <c r="G153" t="s">
        <v>22</v>
      </c>
      <c r="H153" t="s">
        <v>28</v>
      </c>
      <c r="I153">
        <v>147.34</v>
      </c>
      <c r="J153">
        <v>9</v>
      </c>
      <c r="K153">
        <v>66.3</v>
      </c>
      <c r="L153">
        <v>1392.36</v>
      </c>
      <c r="M153">
        <v>1161.05</v>
      </c>
      <c r="N153">
        <v>231.31</v>
      </c>
      <c r="O153">
        <v>16.61</v>
      </c>
      <c r="P153" t="s">
        <v>38</v>
      </c>
      <c r="Q153">
        <v>7.3</v>
      </c>
      <c r="R153" t="str">
        <f t="shared" si="2"/>
        <v>March</v>
      </c>
    </row>
    <row r="154" spans="1:18" x14ac:dyDescent="0.3">
      <c r="A154" t="s">
        <v>334</v>
      </c>
      <c r="B154">
        <v>46100</v>
      </c>
      <c r="C154" t="s">
        <v>335</v>
      </c>
      <c r="D154" t="s">
        <v>51</v>
      </c>
      <c r="E154" t="s">
        <v>51</v>
      </c>
      <c r="F154" t="s">
        <v>21</v>
      </c>
      <c r="G154" t="s">
        <v>22</v>
      </c>
      <c r="H154" t="s">
        <v>23</v>
      </c>
      <c r="I154">
        <v>114.41</v>
      </c>
      <c r="J154">
        <v>10</v>
      </c>
      <c r="K154">
        <v>57.2</v>
      </c>
      <c r="L154">
        <v>1201.3</v>
      </c>
      <c r="M154">
        <v>922.42</v>
      </c>
      <c r="N154">
        <v>278.88</v>
      </c>
      <c r="O154">
        <v>23.21</v>
      </c>
      <c r="P154" t="s">
        <v>24</v>
      </c>
      <c r="Q154">
        <v>7.1</v>
      </c>
      <c r="R154" t="str">
        <f t="shared" si="2"/>
        <v>March</v>
      </c>
    </row>
    <row r="155" spans="1:18" x14ac:dyDescent="0.3">
      <c r="A155" t="s">
        <v>336</v>
      </c>
      <c r="B155">
        <v>46100</v>
      </c>
      <c r="C155" t="s">
        <v>337</v>
      </c>
      <c r="D155" t="s">
        <v>51</v>
      </c>
      <c r="E155" t="s">
        <v>51</v>
      </c>
      <c r="F155" t="s">
        <v>33</v>
      </c>
      <c r="G155" t="s">
        <v>22</v>
      </c>
      <c r="H155" t="s">
        <v>28</v>
      </c>
      <c r="I155">
        <v>145.34</v>
      </c>
      <c r="J155">
        <v>6</v>
      </c>
      <c r="K155">
        <v>43.6</v>
      </c>
      <c r="L155">
        <v>915.64</v>
      </c>
      <c r="M155">
        <v>671.76</v>
      </c>
      <c r="N155">
        <v>243.88</v>
      </c>
      <c r="O155">
        <v>26.63</v>
      </c>
      <c r="P155" t="s">
        <v>38</v>
      </c>
      <c r="Q155">
        <v>7.2</v>
      </c>
      <c r="R155" t="str">
        <f t="shared" si="2"/>
        <v>March</v>
      </c>
    </row>
    <row r="156" spans="1:18" x14ac:dyDescent="0.3">
      <c r="A156" t="s">
        <v>338</v>
      </c>
      <c r="B156">
        <v>46100</v>
      </c>
      <c r="C156" t="s">
        <v>339</v>
      </c>
      <c r="D156" t="s">
        <v>51</v>
      </c>
      <c r="E156" t="s">
        <v>51</v>
      </c>
      <c r="F156" t="s">
        <v>21</v>
      </c>
      <c r="G156" t="s">
        <v>27</v>
      </c>
      <c r="H156" t="s">
        <v>34</v>
      </c>
      <c r="I156">
        <v>85.94</v>
      </c>
      <c r="J156">
        <v>8</v>
      </c>
      <c r="K156">
        <v>34.380000000000003</v>
      </c>
      <c r="L156">
        <v>721.9</v>
      </c>
      <c r="M156">
        <v>560.07000000000005</v>
      </c>
      <c r="N156">
        <v>161.83000000000001</v>
      </c>
      <c r="O156">
        <v>22.42</v>
      </c>
      <c r="P156" t="s">
        <v>35</v>
      </c>
      <c r="Q156">
        <v>9</v>
      </c>
      <c r="R156" t="str">
        <f t="shared" si="2"/>
        <v>March</v>
      </c>
    </row>
    <row r="157" spans="1:18" x14ac:dyDescent="0.3">
      <c r="A157" t="s">
        <v>340</v>
      </c>
      <c r="B157">
        <v>46100</v>
      </c>
      <c r="C157" t="s">
        <v>341</v>
      </c>
      <c r="D157" t="s">
        <v>19</v>
      </c>
      <c r="E157" t="s">
        <v>20</v>
      </c>
      <c r="F157" t="s">
        <v>33</v>
      </c>
      <c r="G157" t="s">
        <v>27</v>
      </c>
      <c r="H157" t="s">
        <v>34</v>
      </c>
      <c r="I157">
        <v>93.86</v>
      </c>
      <c r="J157">
        <v>6</v>
      </c>
      <c r="K157">
        <v>28.16</v>
      </c>
      <c r="L157">
        <v>591.32000000000005</v>
      </c>
      <c r="M157">
        <v>473.96</v>
      </c>
      <c r="N157">
        <v>117.36</v>
      </c>
      <c r="O157">
        <v>19.850000000000001</v>
      </c>
      <c r="P157" t="s">
        <v>35</v>
      </c>
      <c r="Q157">
        <v>6.8</v>
      </c>
      <c r="R157" t="str">
        <f t="shared" si="2"/>
        <v>March</v>
      </c>
    </row>
    <row r="158" spans="1:18" x14ac:dyDescent="0.3">
      <c r="A158" t="s">
        <v>342</v>
      </c>
      <c r="B158">
        <v>46102</v>
      </c>
      <c r="C158" t="s">
        <v>343</v>
      </c>
      <c r="D158" t="s">
        <v>51</v>
      </c>
      <c r="E158" t="s">
        <v>51</v>
      </c>
      <c r="F158" t="s">
        <v>33</v>
      </c>
      <c r="G158" t="s">
        <v>22</v>
      </c>
      <c r="H158" t="s">
        <v>72</v>
      </c>
      <c r="I158">
        <v>216.13</v>
      </c>
      <c r="J158">
        <v>4</v>
      </c>
      <c r="K158">
        <v>43.23</v>
      </c>
      <c r="L158">
        <v>907.75</v>
      </c>
      <c r="M158">
        <v>614.59</v>
      </c>
      <c r="N158">
        <v>293.16000000000003</v>
      </c>
      <c r="O158">
        <v>32.299999999999997</v>
      </c>
      <c r="P158" t="s">
        <v>38</v>
      </c>
      <c r="Q158">
        <v>10</v>
      </c>
      <c r="R158" t="str">
        <f t="shared" si="2"/>
        <v>March</v>
      </c>
    </row>
    <row r="159" spans="1:18" x14ac:dyDescent="0.3">
      <c r="A159" t="s">
        <v>344</v>
      </c>
      <c r="B159">
        <v>46102</v>
      </c>
      <c r="C159" t="s">
        <v>145</v>
      </c>
      <c r="D159" t="s">
        <v>19</v>
      </c>
      <c r="E159" t="s">
        <v>20</v>
      </c>
      <c r="F159" t="s">
        <v>33</v>
      </c>
      <c r="G159" t="s">
        <v>22</v>
      </c>
      <c r="H159" t="s">
        <v>28</v>
      </c>
      <c r="I159">
        <v>183.93</v>
      </c>
      <c r="J159">
        <v>3</v>
      </c>
      <c r="K159">
        <v>27.59</v>
      </c>
      <c r="L159">
        <v>579.38</v>
      </c>
      <c r="M159">
        <v>399.33</v>
      </c>
      <c r="N159">
        <v>180.05</v>
      </c>
      <c r="O159">
        <v>31.08</v>
      </c>
      <c r="P159" t="s">
        <v>38</v>
      </c>
      <c r="Q159">
        <v>7.6</v>
      </c>
      <c r="R159" t="str">
        <f t="shared" si="2"/>
        <v>March</v>
      </c>
    </row>
    <row r="160" spans="1:18" x14ac:dyDescent="0.3">
      <c r="A160" t="s">
        <v>345</v>
      </c>
      <c r="B160">
        <v>46104</v>
      </c>
      <c r="C160" t="s">
        <v>346</v>
      </c>
      <c r="D160" t="s">
        <v>41</v>
      </c>
      <c r="E160" t="s">
        <v>20</v>
      </c>
      <c r="F160" t="s">
        <v>33</v>
      </c>
      <c r="G160" t="s">
        <v>22</v>
      </c>
      <c r="H160" t="s">
        <v>34</v>
      </c>
      <c r="I160">
        <v>90.55</v>
      </c>
      <c r="J160">
        <v>1</v>
      </c>
      <c r="K160">
        <v>4.53</v>
      </c>
      <c r="L160">
        <v>95.08</v>
      </c>
      <c r="M160">
        <v>70</v>
      </c>
      <c r="N160">
        <v>25.08</v>
      </c>
      <c r="O160">
        <v>26.38</v>
      </c>
      <c r="P160" t="s">
        <v>35</v>
      </c>
      <c r="Q160">
        <v>7</v>
      </c>
      <c r="R160" t="str">
        <f t="shared" si="2"/>
        <v>March</v>
      </c>
    </row>
    <row r="161" spans="1:18" x14ac:dyDescent="0.3">
      <c r="A161" t="s">
        <v>347</v>
      </c>
      <c r="B161">
        <v>46104</v>
      </c>
      <c r="C161" t="s">
        <v>348</v>
      </c>
      <c r="D161" t="s">
        <v>59</v>
      </c>
      <c r="E161" t="s">
        <v>59</v>
      </c>
      <c r="F161" t="s">
        <v>33</v>
      </c>
      <c r="G161" t="s">
        <v>27</v>
      </c>
      <c r="H161" t="s">
        <v>45</v>
      </c>
      <c r="I161">
        <v>171.9</v>
      </c>
      <c r="J161">
        <v>1</v>
      </c>
      <c r="K161">
        <v>8.6</v>
      </c>
      <c r="L161">
        <v>180.5</v>
      </c>
      <c r="M161">
        <v>122.81</v>
      </c>
      <c r="N161">
        <v>57.69</v>
      </c>
      <c r="O161">
        <v>31.96</v>
      </c>
      <c r="P161" t="s">
        <v>29</v>
      </c>
      <c r="Q161">
        <v>6.2</v>
      </c>
      <c r="R161" t="str">
        <f t="shared" si="2"/>
        <v>March</v>
      </c>
    </row>
    <row r="162" spans="1:18" x14ac:dyDescent="0.3">
      <c r="A162" t="s">
        <v>349</v>
      </c>
      <c r="B162">
        <v>46104</v>
      </c>
      <c r="C162" t="s">
        <v>350</v>
      </c>
      <c r="D162" t="s">
        <v>59</v>
      </c>
      <c r="E162" t="s">
        <v>59</v>
      </c>
      <c r="F162" t="s">
        <v>33</v>
      </c>
      <c r="G162" t="s">
        <v>27</v>
      </c>
      <c r="H162" t="s">
        <v>72</v>
      </c>
      <c r="I162">
        <v>131.63</v>
      </c>
      <c r="J162">
        <v>10</v>
      </c>
      <c r="K162">
        <v>65.819999999999993</v>
      </c>
      <c r="L162">
        <v>1382.12</v>
      </c>
      <c r="M162">
        <v>1040.83</v>
      </c>
      <c r="N162">
        <v>341.29</v>
      </c>
      <c r="O162">
        <v>24.69</v>
      </c>
      <c r="P162" t="s">
        <v>29</v>
      </c>
      <c r="Q162">
        <v>7.1</v>
      </c>
      <c r="R162" t="str">
        <f t="shared" si="2"/>
        <v>March</v>
      </c>
    </row>
    <row r="163" spans="1:18" x14ac:dyDescent="0.3">
      <c r="A163" t="s">
        <v>351</v>
      </c>
      <c r="B163">
        <v>46105</v>
      </c>
      <c r="C163" t="s">
        <v>352</v>
      </c>
      <c r="D163" t="s">
        <v>41</v>
      </c>
      <c r="E163" t="s">
        <v>20</v>
      </c>
      <c r="F163" t="s">
        <v>21</v>
      </c>
      <c r="G163" t="s">
        <v>27</v>
      </c>
      <c r="H163" t="s">
        <v>45</v>
      </c>
      <c r="I163">
        <v>141.13</v>
      </c>
      <c r="J163">
        <v>7</v>
      </c>
      <c r="K163">
        <v>49.4</v>
      </c>
      <c r="L163">
        <v>1037.31</v>
      </c>
      <c r="M163">
        <v>770.92</v>
      </c>
      <c r="N163">
        <v>266.39</v>
      </c>
      <c r="O163">
        <v>25.68</v>
      </c>
      <c r="P163" t="s">
        <v>35</v>
      </c>
      <c r="Q163">
        <v>6.7</v>
      </c>
      <c r="R163" t="str">
        <f t="shared" si="2"/>
        <v>March</v>
      </c>
    </row>
    <row r="164" spans="1:18" x14ac:dyDescent="0.3">
      <c r="A164" t="s">
        <v>353</v>
      </c>
      <c r="B164">
        <v>46106</v>
      </c>
      <c r="C164" t="s">
        <v>61</v>
      </c>
      <c r="D164" t="s">
        <v>51</v>
      </c>
      <c r="E164" t="s">
        <v>51</v>
      </c>
      <c r="F164" t="s">
        <v>21</v>
      </c>
      <c r="G164" t="s">
        <v>27</v>
      </c>
      <c r="H164" t="s">
        <v>34</v>
      </c>
      <c r="I164">
        <v>79.260000000000005</v>
      </c>
      <c r="J164">
        <v>2</v>
      </c>
      <c r="K164">
        <v>7.93</v>
      </c>
      <c r="L164">
        <v>166.45</v>
      </c>
      <c r="M164">
        <v>112.35</v>
      </c>
      <c r="N164">
        <v>54.1</v>
      </c>
      <c r="O164">
        <v>32.5</v>
      </c>
      <c r="P164" t="s">
        <v>29</v>
      </c>
      <c r="Q164">
        <v>6.8</v>
      </c>
      <c r="R164" t="str">
        <f t="shared" si="2"/>
        <v>March</v>
      </c>
    </row>
    <row r="165" spans="1:18" x14ac:dyDescent="0.3">
      <c r="A165" t="s">
        <v>354</v>
      </c>
      <c r="B165">
        <v>46106</v>
      </c>
      <c r="C165" t="s">
        <v>320</v>
      </c>
      <c r="D165" t="s">
        <v>51</v>
      </c>
      <c r="E165" t="s">
        <v>51</v>
      </c>
      <c r="F165" t="s">
        <v>21</v>
      </c>
      <c r="G165" t="s">
        <v>27</v>
      </c>
      <c r="H165" t="s">
        <v>52</v>
      </c>
      <c r="I165">
        <v>113.83</v>
      </c>
      <c r="J165">
        <v>2</v>
      </c>
      <c r="K165">
        <v>11.38</v>
      </c>
      <c r="L165">
        <v>239.04</v>
      </c>
      <c r="M165">
        <v>199.74</v>
      </c>
      <c r="N165">
        <v>39.299999999999997</v>
      </c>
      <c r="O165">
        <v>16.440000000000001</v>
      </c>
      <c r="P165" t="s">
        <v>46</v>
      </c>
      <c r="Q165">
        <v>8.6999999999999993</v>
      </c>
      <c r="R165" t="str">
        <f t="shared" si="2"/>
        <v>March</v>
      </c>
    </row>
    <row r="166" spans="1:18" x14ac:dyDescent="0.3">
      <c r="A166" t="s">
        <v>355</v>
      </c>
      <c r="B166">
        <v>46107</v>
      </c>
      <c r="C166" t="s">
        <v>356</v>
      </c>
      <c r="D166" t="s">
        <v>51</v>
      </c>
      <c r="E166" t="s">
        <v>51</v>
      </c>
      <c r="F166" t="s">
        <v>21</v>
      </c>
      <c r="G166" t="s">
        <v>22</v>
      </c>
      <c r="H166" t="s">
        <v>52</v>
      </c>
      <c r="I166">
        <v>104.64</v>
      </c>
      <c r="J166">
        <v>5</v>
      </c>
      <c r="K166">
        <v>26.16</v>
      </c>
      <c r="L166">
        <v>549.36</v>
      </c>
      <c r="M166">
        <v>449.26</v>
      </c>
      <c r="N166">
        <v>100.1</v>
      </c>
      <c r="O166">
        <v>18.22</v>
      </c>
      <c r="P166" t="s">
        <v>29</v>
      </c>
      <c r="Q166">
        <v>8.4</v>
      </c>
      <c r="R166" t="str">
        <f t="shared" si="2"/>
        <v>March</v>
      </c>
    </row>
    <row r="167" spans="1:18" x14ac:dyDescent="0.3">
      <c r="A167" t="s">
        <v>357</v>
      </c>
      <c r="B167">
        <v>46107</v>
      </c>
      <c r="C167" t="s">
        <v>358</v>
      </c>
      <c r="D167" t="s">
        <v>51</v>
      </c>
      <c r="E167" t="s">
        <v>51</v>
      </c>
      <c r="F167" t="s">
        <v>33</v>
      </c>
      <c r="G167" t="s">
        <v>22</v>
      </c>
      <c r="H167" t="s">
        <v>23</v>
      </c>
      <c r="I167">
        <v>156.08000000000001</v>
      </c>
      <c r="J167">
        <v>5</v>
      </c>
      <c r="K167">
        <v>39.020000000000003</v>
      </c>
      <c r="L167">
        <v>819.42</v>
      </c>
      <c r="M167">
        <v>619.48</v>
      </c>
      <c r="N167">
        <v>199.94</v>
      </c>
      <c r="O167">
        <v>24.4</v>
      </c>
      <c r="P167" t="s">
        <v>29</v>
      </c>
      <c r="Q167">
        <v>10</v>
      </c>
      <c r="R167" t="str">
        <f t="shared" si="2"/>
        <v>March</v>
      </c>
    </row>
    <row r="168" spans="1:18" x14ac:dyDescent="0.3">
      <c r="A168" t="s">
        <v>359</v>
      </c>
      <c r="B168">
        <v>46107</v>
      </c>
      <c r="C168" t="s">
        <v>360</v>
      </c>
      <c r="D168" t="s">
        <v>41</v>
      </c>
      <c r="E168" t="s">
        <v>20</v>
      </c>
      <c r="F168" t="s">
        <v>33</v>
      </c>
      <c r="G168" t="s">
        <v>22</v>
      </c>
      <c r="H168" t="s">
        <v>28</v>
      </c>
      <c r="I168">
        <v>125.73</v>
      </c>
      <c r="J168">
        <v>3</v>
      </c>
      <c r="K168">
        <v>18.86</v>
      </c>
      <c r="L168">
        <v>396.05</v>
      </c>
      <c r="M168">
        <v>304.37</v>
      </c>
      <c r="N168">
        <v>91.68</v>
      </c>
      <c r="O168">
        <v>23.15</v>
      </c>
      <c r="P168" t="s">
        <v>29</v>
      </c>
      <c r="Q168">
        <v>6.9</v>
      </c>
      <c r="R168" t="str">
        <f t="shared" si="2"/>
        <v>March</v>
      </c>
    </row>
    <row r="169" spans="1:18" x14ac:dyDescent="0.3">
      <c r="A169" t="s">
        <v>361</v>
      </c>
      <c r="B169">
        <v>46107</v>
      </c>
      <c r="C169" t="s">
        <v>76</v>
      </c>
      <c r="D169" t="s">
        <v>41</v>
      </c>
      <c r="E169" t="s">
        <v>20</v>
      </c>
      <c r="F169" t="s">
        <v>33</v>
      </c>
      <c r="G169" t="s">
        <v>27</v>
      </c>
      <c r="H169" t="s">
        <v>99</v>
      </c>
      <c r="I169">
        <v>71.92</v>
      </c>
      <c r="J169">
        <v>2</v>
      </c>
      <c r="K169">
        <v>7.19</v>
      </c>
      <c r="L169">
        <v>151.03</v>
      </c>
      <c r="M169">
        <v>106.66</v>
      </c>
      <c r="N169">
        <v>44.37</v>
      </c>
      <c r="O169">
        <v>29.38</v>
      </c>
      <c r="P169" t="s">
        <v>35</v>
      </c>
      <c r="Q169">
        <v>7.2</v>
      </c>
      <c r="R169" t="str">
        <f t="shared" si="2"/>
        <v>March</v>
      </c>
    </row>
    <row r="170" spans="1:18" x14ac:dyDescent="0.3">
      <c r="A170" t="s">
        <v>362</v>
      </c>
      <c r="B170">
        <v>46108</v>
      </c>
      <c r="C170" t="s">
        <v>363</v>
      </c>
      <c r="D170" t="s">
        <v>19</v>
      </c>
      <c r="E170" t="s">
        <v>20</v>
      </c>
      <c r="F170" t="s">
        <v>33</v>
      </c>
      <c r="G170" t="s">
        <v>22</v>
      </c>
      <c r="H170" t="s">
        <v>23</v>
      </c>
      <c r="I170">
        <v>108.62</v>
      </c>
      <c r="J170">
        <v>1</v>
      </c>
      <c r="K170">
        <v>5.43</v>
      </c>
      <c r="L170">
        <v>114.05</v>
      </c>
      <c r="M170">
        <v>76.290000000000006</v>
      </c>
      <c r="N170">
        <v>37.76</v>
      </c>
      <c r="O170">
        <v>33.11</v>
      </c>
      <c r="P170" t="s">
        <v>29</v>
      </c>
      <c r="Q170">
        <v>7</v>
      </c>
      <c r="R170" t="str">
        <f t="shared" si="2"/>
        <v>March</v>
      </c>
    </row>
    <row r="171" spans="1:18" x14ac:dyDescent="0.3">
      <c r="A171" t="s">
        <v>364</v>
      </c>
      <c r="B171">
        <v>46109</v>
      </c>
      <c r="C171" t="s">
        <v>365</v>
      </c>
      <c r="D171" t="s">
        <v>51</v>
      </c>
      <c r="E171" t="s">
        <v>51</v>
      </c>
      <c r="F171" t="s">
        <v>21</v>
      </c>
      <c r="G171" t="s">
        <v>22</v>
      </c>
      <c r="H171" t="s">
        <v>52</v>
      </c>
      <c r="I171">
        <v>84.47</v>
      </c>
      <c r="J171">
        <v>2</v>
      </c>
      <c r="K171">
        <v>8.4499999999999993</v>
      </c>
      <c r="L171">
        <v>177.39</v>
      </c>
      <c r="M171">
        <v>143.46</v>
      </c>
      <c r="N171">
        <v>33.93</v>
      </c>
      <c r="O171">
        <v>19.13</v>
      </c>
      <c r="P171" t="s">
        <v>29</v>
      </c>
      <c r="Q171">
        <v>6.8</v>
      </c>
      <c r="R171" t="str">
        <f t="shared" si="2"/>
        <v>March</v>
      </c>
    </row>
    <row r="172" spans="1:18" x14ac:dyDescent="0.3">
      <c r="A172" t="s">
        <v>366</v>
      </c>
      <c r="B172">
        <v>46109</v>
      </c>
      <c r="C172" t="s">
        <v>367</v>
      </c>
      <c r="D172" t="s">
        <v>41</v>
      </c>
      <c r="E172" t="s">
        <v>20</v>
      </c>
      <c r="F172" t="s">
        <v>33</v>
      </c>
      <c r="G172" t="s">
        <v>22</v>
      </c>
      <c r="H172" t="s">
        <v>34</v>
      </c>
      <c r="I172">
        <v>75.819999999999993</v>
      </c>
      <c r="J172">
        <v>5</v>
      </c>
      <c r="K172">
        <v>18.95</v>
      </c>
      <c r="L172">
        <v>398.05</v>
      </c>
      <c r="M172">
        <v>266.37</v>
      </c>
      <c r="N172">
        <v>131.68</v>
      </c>
      <c r="O172">
        <v>33.08</v>
      </c>
      <c r="P172" t="s">
        <v>35</v>
      </c>
      <c r="Q172">
        <v>8.1999999999999993</v>
      </c>
      <c r="R172" t="str">
        <f t="shared" si="2"/>
        <v>March</v>
      </c>
    </row>
    <row r="173" spans="1:18" x14ac:dyDescent="0.3">
      <c r="A173" t="s">
        <v>368</v>
      </c>
      <c r="B173">
        <v>46109</v>
      </c>
      <c r="C173" t="s">
        <v>369</v>
      </c>
      <c r="D173" t="s">
        <v>19</v>
      </c>
      <c r="E173" t="s">
        <v>20</v>
      </c>
      <c r="F173" t="s">
        <v>21</v>
      </c>
      <c r="G173" t="s">
        <v>22</v>
      </c>
      <c r="H173" t="s">
        <v>45</v>
      </c>
      <c r="I173">
        <v>211.99</v>
      </c>
      <c r="J173">
        <v>5</v>
      </c>
      <c r="K173">
        <v>53</v>
      </c>
      <c r="L173">
        <v>1112.95</v>
      </c>
      <c r="M173">
        <v>828.5</v>
      </c>
      <c r="N173">
        <v>284.45</v>
      </c>
      <c r="O173">
        <v>25.56</v>
      </c>
      <c r="P173" t="s">
        <v>24</v>
      </c>
      <c r="Q173">
        <v>6.9</v>
      </c>
      <c r="R173" t="str">
        <f t="shared" si="2"/>
        <v>March</v>
      </c>
    </row>
    <row r="174" spans="1:18" x14ac:dyDescent="0.3">
      <c r="A174" t="s">
        <v>370</v>
      </c>
      <c r="B174">
        <v>46109</v>
      </c>
      <c r="C174" t="s">
        <v>44</v>
      </c>
      <c r="D174" t="s">
        <v>41</v>
      </c>
      <c r="E174" t="s">
        <v>20</v>
      </c>
      <c r="F174" t="s">
        <v>33</v>
      </c>
      <c r="G174" t="s">
        <v>27</v>
      </c>
      <c r="H174" t="s">
        <v>72</v>
      </c>
      <c r="I174">
        <v>161.12</v>
      </c>
      <c r="J174">
        <v>7</v>
      </c>
      <c r="K174">
        <v>56.39</v>
      </c>
      <c r="L174">
        <v>1184.23</v>
      </c>
      <c r="M174">
        <v>928.24</v>
      </c>
      <c r="N174">
        <v>255.99</v>
      </c>
      <c r="O174">
        <v>21.62</v>
      </c>
      <c r="P174" t="s">
        <v>24</v>
      </c>
      <c r="Q174">
        <v>6</v>
      </c>
      <c r="R174" t="str">
        <f t="shared" si="2"/>
        <v>March</v>
      </c>
    </row>
    <row r="175" spans="1:18" x14ac:dyDescent="0.3">
      <c r="A175" t="s">
        <v>371</v>
      </c>
      <c r="B175">
        <v>46109</v>
      </c>
      <c r="C175" t="s">
        <v>372</v>
      </c>
      <c r="D175" t="s">
        <v>59</v>
      </c>
      <c r="E175" t="s">
        <v>59</v>
      </c>
      <c r="F175" t="s">
        <v>21</v>
      </c>
      <c r="G175" t="s">
        <v>27</v>
      </c>
      <c r="H175" t="s">
        <v>45</v>
      </c>
      <c r="I175">
        <v>197.02</v>
      </c>
      <c r="J175">
        <v>9</v>
      </c>
      <c r="K175">
        <v>88.66</v>
      </c>
      <c r="L175">
        <v>1861.84</v>
      </c>
      <c r="M175">
        <v>1438.79</v>
      </c>
      <c r="N175">
        <v>423.05</v>
      </c>
      <c r="O175">
        <v>22.72</v>
      </c>
      <c r="P175" t="s">
        <v>35</v>
      </c>
      <c r="Q175">
        <v>7.5</v>
      </c>
      <c r="R175" t="str">
        <f t="shared" si="2"/>
        <v>March</v>
      </c>
    </row>
    <row r="176" spans="1:18" x14ac:dyDescent="0.3">
      <c r="A176" t="s">
        <v>373</v>
      </c>
      <c r="B176">
        <v>46109</v>
      </c>
      <c r="C176" t="s">
        <v>374</v>
      </c>
      <c r="D176" t="s">
        <v>59</v>
      </c>
      <c r="E176" t="s">
        <v>59</v>
      </c>
      <c r="F176" t="s">
        <v>33</v>
      </c>
      <c r="G176" t="s">
        <v>22</v>
      </c>
      <c r="H176" t="s">
        <v>28</v>
      </c>
      <c r="I176">
        <v>137.02000000000001</v>
      </c>
      <c r="J176">
        <v>4</v>
      </c>
      <c r="K176">
        <v>27.4</v>
      </c>
      <c r="L176">
        <v>575.48</v>
      </c>
      <c r="M176">
        <v>472.27</v>
      </c>
      <c r="N176">
        <v>103.21</v>
      </c>
      <c r="O176">
        <v>17.93</v>
      </c>
      <c r="P176" t="s">
        <v>46</v>
      </c>
      <c r="Q176">
        <v>8.6</v>
      </c>
      <c r="R176" t="str">
        <f t="shared" si="2"/>
        <v>March</v>
      </c>
    </row>
    <row r="177" spans="1:18" x14ac:dyDescent="0.3">
      <c r="A177" t="s">
        <v>375</v>
      </c>
      <c r="B177">
        <v>46110</v>
      </c>
      <c r="C177" t="s">
        <v>376</v>
      </c>
      <c r="D177" t="s">
        <v>19</v>
      </c>
      <c r="E177" t="s">
        <v>20</v>
      </c>
      <c r="F177" t="s">
        <v>33</v>
      </c>
      <c r="G177" t="s">
        <v>22</v>
      </c>
      <c r="H177" t="s">
        <v>52</v>
      </c>
      <c r="I177">
        <v>95.97</v>
      </c>
      <c r="J177">
        <v>2</v>
      </c>
      <c r="K177">
        <v>9.6</v>
      </c>
      <c r="L177">
        <v>201.54</v>
      </c>
      <c r="M177">
        <v>161.63</v>
      </c>
      <c r="N177">
        <v>39.909999999999997</v>
      </c>
      <c r="O177">
        <v>19.8</v>
      </c>
      <c r="P177" t="s">
        <v>46</v>
      </c>
      <c r="Q177">
        <v>8</v>
      </c>
      <c r="R177" t="str">
        <f t="shared" si="2"/>
        <v>March</v>
      </c>
    </row>
    <row r="178" spans="1:18" x14ac:dyDescent="0.3">
      <c r="A178" t="s">
        <v>377</v>
      </c>
      <c r="B178">
        <v>46110</v>
      </c>
      <c r="C178" t="s">
        <v>378</v>
      </c>
      <c r="D178" t="s">
        <v>41</v>
      </c>
      <c r="E178" t="s">
        <v>20</v>
      </c>
      <c r="F178" t="s">
        <v>33</v>
      </c>
      <c r="G178" t="s">
        <v>27</v>
      </c>
      <c r="H178" t="s">
        <v>23</v>
      </c>
      <c r="I178">
        <v>72.790000000000006</v>
      </c>
      <c r="J178">
        <v>9</v>
      </c>
      <c r="K178">
        <v>32.76</v>
      </c>
      <c r="L178">
        <v>687.87</v>
      </c>
      <c r="M178">
        <v>524.91</v>
      </c>
      <c r="N178">
        <v>162.96</v>
      </c>
      <c r="O178">
        <v>23.69</v>
      </c>
      <c r="P178" t="s">
        <v>46</v>
      </c>
      <c r="Q178">
        <v>7.2</v>
      </c>
      <c r="R178" t="str">
        <f t="shared" si="2"/>
        <v>March</v>
      </c>
    </row>
    <row r="179" spans="1:18" x14ac:dyDescent="0.3">
      <c r="A179" t="s">
        <v>379</v>
      </c>
      <c r="B179">
        <v>46110</v>
      </c>
      <c r="C179" t="s">
        <v>380</v>
      </c>
      <c r="D179" t="s">
        <v>41</v>
      </c>
      <c r="E179" t="s">
        <v>20</v>
      </c>
      <c r="F179" t="s">
        <v>33</v>
      </c>
      <c r="G179" t="s">
        <v>22</v>
      </c>
      <c r="H179" t="s">
        <v>34</v>
      </c>
      <c r="I179">
        <v>98.29</v>
      </c>
      <c r="J179">
        <v>7</v>
      </c>
      <c r="K179">
        <v>34.4</v>
      </c>
      <c r="L179">
        <v>722.43</v>
      </c>
      <c r="M179">
        <v>554.55999999999995</v>
      </c>
      <c r="N179">
        <v>167.87</v>
      </c>
      <c r="O179">
        <v>23.24</v>
      </c>
      <c r="P179" t="s">
        <v>29</v>
      </c>
      <c r="Q179">
        <v>6.6</v>
      </c>
      <c r="R179" t="str">
        <f t="shared" si="2"/>
        <v>March</v>
      </c>
    </row>
    <row r="180" spans="1:18" x14ac:dyDescent="0.3">
      <c r="A180" t="s">
        <v>381</v>
      </c>
      <c r="B180">
        <v>46111</v>
      </c>
      <c r="C180" t="s">
        <v>382</v>
      </c>
      <c r="D180" t="s">
        <v>32</v>
      </c>
      <c r="E180" t="s">
        <v>32</v>
      </c>
      <c r="F180" t="s">
        <v>21</v>
      </c>
      <c r="G180" t="s">
        <v>27</v>
      </c>
      <c r="H180" t="s">
        <v>28</v>
      </c>
      <c r="I180">
        <v>149.41</v>
      </c>
      <c r="J180">
        <v>3</v>
      </c>
      <c r="K180">
        <v>22.41</v>
      </c>
      <c r="L180">
        <v>470.64</v>
      </c>
      <c r="M180">
        <v>350.13</v>
      </c>
      <c r="N180">
        <v>120.51</v>
      </c>
      <c r="O180">
        <v>25.61</v>
      </c>
      <c r="P180" t="s">
        <v>46</v>
      </c>
      <c r="Q180">
        <v>8</v>
      </c>
      <c r="R180" t="str">
        <f t="shared" si="2"/>
        <v>March</v>
      </c>
    </row>
    <row r="181" spans="1:18" x14ac:dyDescent="0.3">
      <c r="A181" t="s">
        <v>383</v>
      </c>
      <c r="B181">
        <v>46111</v>
      </c>
      <c r="C181" t="s">
        <v>384</v>
      </c>
      <c r="D181" t="s">
        <v>59</v>
      </c>
      <c r="E181" t="s">
        <v>59</v>
      </c>
      <c r="F181" t="s">
        <v>21</v>
      </c>
      <c r="G181" t="s">
        <v>22</v>
      </c>
      <c r="H181" t="s">
        <v>45</v>
      </c>
      <c r="I181">
        <v>298.37</v>
      </c>
      <c r="J181">
        <v>9</v>
      </c>
      <c r="K181">
        <v>134.27000000000001</v>
      </c>
      <c r="L181">
        <v>2819.6</v>
      </c>
      <c r="M181">
        <v>1939.3</v>
      </c>
      <c r="N181">
        <v>880.3</v>
      </c>
      <c r="O181">
        <v>31.22</v>
      </c>
      <c r="P181" t="s">
        <v>46</v>
      </c>
      <c r="Q181">
        <v>6.4</v>
      </c>
      <c r="R181" t="str">
        <f t="shared" si="2"/>
        <v>March</v>
      </c>
    </row>
    <row r="182" spans="1:18" x14ac:dyDescent="0.3">
      <c r="A182" t="s">
        <v>385</v>
      </c>
      <c r="B182">
        <v>46111</v>
      </c>
      <c r="C182" t="s">
        <v>312</v>
      </c>
      <c r="D182" t="s">
        <v>51</v>
      </c>
      <c r="E182" t="s">
        <v>51</v>
      </c>
      <c r="F182" t="s">
        <v>21</v>
      </c>
      <c r="G182" t="s">
        <v>27</v>
      </c>
      <c r="H182" t="s">
        <v>52</v>
      </c>
      <c r="I182">
        <v>93.37</v>
      </c>
      <c r="J182">
        <v>2</v>
      </c>
      <c r="K182">
        <v>9.34</v>
      </c>
      <c r="L182">
        <v>196.08</v>
      </c>
      <c r="M182">
        <v>161.08000000000001</v>
      </c>
      <c r="N182">
        <v>35</v>
      </c>
      <c r="O182">
        <v>17.850000000000001</v>
      </c>
      <c r="P182" t="s">
        <v>38</v>
      </c>
      <c r="Q182">
        <v>8</v>
      </c>
      <c r="R182" t="str">
        <f t="shared" si="2"/>
        <v>March</v>
      </c>
    </row>
    <row r="183" spans="1:18" x14ac:dyDescent="0.3">
      <c r="A183" t="s">
        <v>386</v>
      </c>
      <c r="B183">
        <v>46112</v>
      </c>
      <c r="C183" t="s">
        <v>387</v>
      </c>
      <c r="D183" t="s">
        <v>59</v>
      </c>
      <c r="E183" t="s">
        <v>59</v>
      </c>
      <c r="F183" t="s">
        <v>21</v>
      </c>
      <c r="G183" t="s">
        <v>22</v>
      </c>
      <c r="H183" t="s">
        <v>99</v>
      </c>
      <c r="I183">
        <v>84.06</v>
      </c>
      <c r="J183">
        <v>6</v>
      </c>
      <c r="K183">
        <v>25.22</v>
      </c>
      <c r="L183">
        <v>529.58000000000004</v>
      </c>
      <c r="M183">
        <v>410.45</v>
      </c>
      <c r="N183">
        <v>119.13</v>
      </c>
      <c r="O183">
        <v>22.5</v>
      </c>
      <c r="P183" t="s">
        <v>46</v>
      </c>
      <c r="Q183">
        <v>7.3</v>
      </c>
      <c r="R183" t="str">
        <f t="shared" si="2"/>
        <v>March</v>
      </c>
    </row>
    <row r="184" spans="1:18" x14ac:dyDescent="0.3">
      <c r="A184" t="s">
        <v>388</v>
      </c>
      <c r="B184">
        <v>46112</v>
      </c>
      <c r="C184" t="s">
        <v>389</v>
      </c>
      <c r="D184" t="s">
        <v>51</v>
      </c>
      <c r="E184" t="s">
        <v>51</v>
      </c>
      <c r="F184" t="s">
        <v>21</v>
      </c>
      <c r="G184" t="s">
        <v>22</v>
      </c>
      <c r="H184" t="s">
        <v>99</v>
      </c>
      <c r="I184">
        <v>87.99</v>
      </c>
      <c r="J184">
        <v>2</v>
      </c>
      <c r="K184">
        <v>8.8000000000000007</v>
      </c>
      <c r="L184">
        <v>184.78</v>
      </c>
      <c r="M184">
        <v>125.65</v>
      </c>
      <c r="N184">
        <v>59.13</v>
      </c>
      <c r="O184">
        <v>32</v>
      </c>
      <c r="P184" t="s">
        <v>46</v>
      </c>
      <c r="Q184">
        <v>5.2</v>
      </c>
      <c r="R184" t="str">
        <f t="shared" si="2"/>
        <v>March</v>
      </c>
    </row>
    <row r="185" spans="1:18" x14ac:dyDescent="0.3">
      <c r="A185" t="s">
        <v>390</v>
      </c>
      <c r="B185">
        <v>46112</v>
      </c>
      <c r="C185" t="s">
        <v>346</v>
      </c>
      <c r="D185" t="s">
        <v>51</v>
      </c>
      <c r="E185" t="s">
        <v>51</v>
      </c>
      <c r="F185" t="s">
        <v>21</v>
      </c>
      <c r="G185" t="s">
        <v>22</v>
      </c>
      <c r="H185" t="s">
        <v>45</v>
      </c>
      <c r="I185">
        <v>283.37</v>
      </c>
      <c r="J185">
        <v>7</v>
      </c>
      <c r="K185">
        <v>99.18</v>
      </c>
      <c r="L185">
        <v>2082.77</v>
      </c>
      <c r="M185">
        <v>1513.08</v>
      </c>
      <c r="N185">
        <v>569.69000000000005</v>
      </c>
      <c r="O185">
        <v>27.35</v>
      </c>
      <c r="P185" t="s">
        <v>38</v>
      </c>
      <c r="Q185">
        <v>8.6999999999999993</v>
      </c>
      <c r="R185" t="str">
        <f t="shared" si="2"/>
        <v>March</v>
      </c>
    </row>
    <row r="186" spans="1:18" x14ac:dyDescent="0.3">
      <c r="A186" t="s">
        <v>391</v>
      </c>
      <c r="B186">
        <v>46112</v>
      </c>
      <c r="C186" t="s">
        <v>392</v>
      </c>
      <c r="D186" t="s">
        <v>59</v>
      </c>
      <c r="E186" t="s">
        <v>59</v>
      </c>
      <c r="F186" t="s">
        <v>21</v>
      </c>
      <c r="G186" t="s">
        <v>27</v>
      </c>
      <c r="H186" t="s">
        <v>45</v>
      </c>
      <c r="I186">
        <v>196.99</v>
      </c>
      <c r="J186">
        <v>7</v>
      </c>
      <c r="K186">
        <v>68.95</v>
      </c>
      <c r="L186">
        <v>1447.88</v>
      </c>
      <c r="M186">
        <v>1170.42</v>
      </c>
      <c r="N186">
        <v>277.45999999999998</v>
      </c>
      <c r="O186">
        <v>19.16</v>
      </c>
      <c r="P186" t="s">
        <v>38</v>
      </c>
      <c r="Q186">
        <v>7.5</v>
      </c>
      <c r="R186" t="str">
        <f t="shared" si="2"/>
        <v>March</v>
      </c>
    </row>
    <row r="187" spans="1:18" x14ac:dyDescent="0.3">
      <c r="A187" t="s">
        <v>393</v>
      </c>
      <c r="B187">
        <v>46113</v>
      </c>
      <c r="C187" t="s">
        <v>394</v>
      </c>
      <c r="D187" t="s">
        <v>32</v>
      </c>
      <c r="E187" t="s">
        <v>32</v>
      </c>
      <c r="F187" t="s">
        <v>33</v>
      </c>
      <c r="G187" t="s">
        <v>27</v>
      </c>
      <c r="H187" t="s">
        <v>42</v>
      </c>
      <c r="I187">
        <v>440.95</v>
      </c>
      <c r="J187">
        <v>10</v>
      </c>
      <c r="K187">
        <v>220.48</v>
      </c>
      <c r="L187">
        <v>4629.9799999999996</v>
      </c>
      <c r="M187">
        <v>3617.89</v>
      </c>
      <c r="N187">
        <v>1012.09</v>
      </c>
      <c r="O187">
        <v>21.86</v>
      </c>
      <c r="P187" t="s">
        <v>35</v>
      </c>
      <c r="Q187">
        <v>8.1999999999999993</v>
      </c>
      <c r="R187" t="str">
        <f t="shared" si="2"/>
        <v>April</v>
      </c>
    </row>
    <row r="188" spans="1:18" x14ac:dyDescent="0.3">
      <c r="A188" t="s">
        <v>395</v>
      </c>
      <c r="B188">
        <v>46113</v>
      </c>
      <c r="C188" t="s">
        <v>71</v>
      </c>
      <c r="D188" t="s">
        <v>19</v>
      </c>
      <c r="E188" t="s">
        <v>20</v>
      </c>
      <c r="F188" t="s">
        <v>33</v>
      </c>
      <c r="G188" t="s">
        <v>27</v>
      </c>
      <c r="H188" t="s">
        <v>45</v>
      </c>
      <c r="I188">
        <v>264.35000000000002</v>
      </c>
      <c r="J188">
        <v>9</v>
      </c>
      <c r="K188">
        <v>118.96</v>
      </c>
      <c r="L188">
        <v>2498.11</v>
      </c>
      <c r="M188">
        <v>1736.5</v>
      </c>
      <c r="N188">
        <v>761.61</v>
      </c>
      <c r="O188">
        <v>30.49</v>
      </c>
      <c r="P188" t="s">
        <v>29</v>
      </c>
      <c r="Q188">
        <v>7</v>
      </c>
      <c r="R188" t="str">
        <f t="shared" si="2"/>
        <v>April</v>
      </c>
    </row>
    <row r="189" spans="1:18" x14ac:dyDescent="0.3">
      <c r="A189" t="s">
        <v>396</v>
      </c>
      <c r="B189">
        <v>46113</v>
      </c>
      <c r="C189" t="s">
        <v>397</v>
      </c>
      <c r="D189" t="s">
        <v>59</v>
      </c>
      <c r="E189" t="s">
        <v>59</v>
      </c>
      <c r="F189" t="s">
        <v>33</v>
      </c>
      <c r="G189" t="s">
        <v>22</v>
      </c>
      <c r="H189" t="s">
        <v>45</v>
      </c>
      <c r="I189">
        <v>254.53</v>
      </c>
      <c r="J189">
        <v>2</v>
      </c>
      <c r="K189">
        <v>25.45</v>
      </c>
      <c r="L189">
        <v>534.51</v>
      </c>
      <c r="M189">
        <v>357.14</v>
      </c>
      <c r="N189">
        <v>177.37</v>
      </c>
      <c r="O189">
        <v>33.18</v>
      </c>
      <c r="P189" t="s">
        <v>38</v>
      </c>
      <c r="Q189">
        <v>9.9</v>
      </c>
      <c r="R189" t="str">
        <f t="shared" si="2"/>
        <v>April</v>
      </c>
    </row>
    <row r="190" spans="1:18" x14ac:dyDescent="0.3">
      <c r="A190" t="s">
        <v>398</v>
      </c>
      <c r="B190">
        <v>46114</v>
      </c>
      <c r="C190" t="s">
        <v>298</v>
      </c>
      <c r="D190" t="s">
        <v>59</v>
      </c>
      <c r="E190" t="s">
        <v>59</v>
      </c>
      <c r="F190" t="s">
        <v>21</v>
      </c>
      <c r="G190" t="s">
        <v>27</v>
      </c>
      <c r="H190" t="s">
        <v>45</v>
      </c>
      <c r="I190">
        <v>298.45</v>
      </c>
      <c r="J190">
        <v>4</v>
      </c>
      <c r="K190">
        <v>59.69</v>
      </c>
      <c r="L190">
        <v>1253.49</v>
      </c>
      <c r="M190">
        <v>992.36</v>
      </c>
      <c r="N190">
        <v>261.13</v>
      </c>
      <c r="O190">
        <v>20.83</v>
      </c>
      <c r="P190" t="s">
        <v>29</v>
      </c>
      <c r="Q190">
        <v>7.8</v>
      </c>
      <c r="R190" t="str">
        <f t="shared" si="2"/>
        <v>April</v>
      </c>
    </row>
    <row r="191" spans="1:18" x14ac:dyDescent="0.3">
      <c r="A191" t="s">
        <v>399</v>
      </c>
      <c r="B191">
        <v>46114</v>
      </c>
      <c r="C191" t="s">
        <v>400</v>
      </c>
      <c r="D191" t="s">
        <v>19</v>
      </c>
      <c r="E191" t="s">
        <v>20</v>
      </c>
      <c r="F191" t="s">
        <v>21</v>
      </c>
      <c r="G191" t="s">
        <v>22</v>
      </c>
      <c r="H191" t="s">
        <v>45</v>
      </c>
      <c r="I191">
        <v>222.39</v>
      </c>
      <c r="J191">
        <v>5</v>
      </c>
      <c r="K191">
        <v>55.6</v>
      </c>
      <c r="L191">
        <v>1167.55</v>
      </c>
      <c r="M191">
        <v>861.48</v>
      </c>
      <c r="N191">
        <v>306.07</v>
      </c>
      <c r="O191">
        <v>26.21</v>
      </c>
      <c r="P191" t="s">
        <v>38</v>
      </c>
      <c r="Q191">
        <v>5.4</v>
      </c>
      <c r="R191" t="str">
        <f t="shared" si="2"/>
        <v>April</v>
      </c>
    </row>
    <row r="192" spans="1:18" x14ac:dyDescent="0.3">
      <c r="A192" t="s">
        <v>401</v>
      </c>
      <c r="B192">
        <v>46114</v>
      </c>
      <c r="C192" t="s">
        <v>167</v>
      </c>
      <c r="D192" t="s">
        <v>19</v>
      </c>
      <c r="E192" t="s">
        <v>20</v>
      </c>
      <c r="F192" t="s">
        <v>33</v>
      </c>
      <c r="G192" t="s">
        <v>27</v>
      </c>
      <c r="H192" t="s">
        <v>28</v>
      </c>
      <c r="I192">
        <v>100.08</v>
      </c>
      <c r="J192">
        <v>7</v>
      </c>
      <c r="K192">
        <v>35.03</v>
      </c>
      <c r="L192">
        <v>735.59</v>
      </c>
      <c r="M192">
        <v>599.29999999999995</v>
      </c>
      <c r="N192">
        <v>136.29</v>
      </c>
      <c r="O192">
        <v>18.53</v>
      </c>
      <c r="P192" t="s">
        <v>38</v>
      </c>
      <c r="Q192">
        <v>7.8</v>
      </c>
      <c r="R192" t="str">
        <f t="shared" si="2"/>
        <v>April</v>
      </c>
    </row>
    <row r="193" spans="1:18" x14ac:dyDescent="0.3">
      <c r="A193" t="s">
        <v>402</v>
      </c>
      <c r="B193">
        <v>46114</v>
      </c>
      <c r="C193" t="s">
        <v>403</v>
      </c>
      <c r="D193" t="s">
        <v>59</v>
      </c>
      <c r="E193" t="s">
        <v>59</v>
      </c>
      <c r="F193" t="s">
        <v>33</v>
      </c>
      <c r="G193" t="s">
        <v>27</v>
      </c>
      <c r="H193" t="s">
        <v>23</v>
      </c>
      <c r="I193">
        <v>108.15</v>
      </c>
      <c r="J193">
        <v>2</v>
      </c>
      <c r="K193">
        <v>10.82</v>
      </c>
      <c r="L193">
        <v>227.12</v>
      </c>
      <c r="M193">
        <v>161.97999999999999</v>
      </c>
      <c r="N193">
        <v>65.14</v>
      </c>
      <c r="O193">
        <v>28.68</v>
      </c>
      <c r="P193" t="s">
        <v>46</v>
      </c>
      <c r="Q193">
        <v>8.6</v>
      </c>
      <c r="R193" t="str">
        <f t="shared" si="2"/>
        <v>April</v>
      </c>
    </row>
    <row r="194" spans="1:18" x14ac:dyDescent="0.3">
      <c r="A194" t="s">
        <v>404</v>
      </c>
      <c r="B194">
        <v>46115</v>
      </c>
      <c r="C194" t="s">
        <v>405</v>
      </c>
      <c r="D194" t="s">
        <v>59</v>
      </c>
      <c r="E194" t="s">
        <v>59</v>
      </c>
      <c r="F194" t="s">
        <v>21</v>
      </c>
      <c r="G194" t="s">
        <v>22</v>
      </c>
      <c r="H194" t="s">
        <v>45</v>
      </c>
      <c r="I194">
        <v>246.08</v>
      </c>
      <c r="J194">
        <v>2</v>
      </c>
      <c r="K194">
        <v>24.61</v>
      </c>
      <c r="L194">
        <v>516.77</v>
      </c>
      <c r="M194">
        <v>412.99</v>
      </c>
      <c r="N194">
        <v>103.78</v>
      </c>
      <c r="O194">
        <v>20.079999999999998</v>
      </c>
      <c r="P194" t="s">
        <v>38</v>
      </c>
      <c r="Q194">
        <v>7.8</v>
      </c>
      <c r="R194" t="str">
        <f t="shared" si="2"/>
        <v>April</v>
      </c>
    </row>
    <row r="195" spans="1:18" x14ac:dyDescent="0.3">
      <c r="A195" t="s">
        <v>406</v>
      </c>
      <c r="B195">
        <v>46115</v>
      </c>
      <c r="C195" t="s">
        <v>407</v>
      </c>
      <c r="D195" t="s">
        <v>32</v>
      </c>
      <c r="E195" t="s">
        <v>32</v>
      </c>
      <c r="F195" t="s">
        <v>21</v>
      </c>
      <c r="G195" t="s">
        <v>27</v>
      </c>
      <c r="H195" t="s">
        <v>72</v>
      </c>
      <c r="I195">
        <v>163.06</v>
      </c>
      <c r="J195">
        <v>2</v>
      </c>
      <c r="K195">
        <v>16.309999999999999</v>
      </c>
      <c r="L195">
        <v>342.43</v>
      </c>
      <c r="M195">
        <v>277.08999999999997</v>
      </c>
      <c r="N195">
        <v>65.34</v>
      </c>
      <c r="O195">
        <v>19.079999999999998</v>
      </c>
      <c r="P195" t="s">
        <v>38</v>
      </c>
      <c r="Q195">
        <v>7.7</v>
      </c>
      <c r="R195" t="str">
        <f t="shared" ref="R195:R258" si="3">TEXT(B195,"mmmm")</f>
        <v>April</v>
      </c>
    </row>
    <row r="196" spans="1:18" x14ac:dyDescent="0.3">
      <c r="A196" t="s">
        <v>408</v>
      </c>
      <c r="B196">
        <v>46116</v>
      </c>
      <c r="C196" t="s">
        <v>409</v>
      </c>
      <c r="D196" t="s">
        <v>41</v>
      </c>
      <c r="E196" t="s">
        <v>20</v>
      </c>
      <c r="F196" t="s">
        <v>33</v>
      </c>
      <c r="G196" t="s">
        <v>27</v>
      </c>
      <c r="H196" t="s">
        <v>23</v>
      </c>
      <c r="I196">
        <v>76.739999999999995</v>
      </c>
      <c r="J196">
        <v>8</v>
      </c>
      <c r="K196">
        <v>30.7</v>
      </c>
      <c r="L196">
        <v>644.62</v>
      </c>
      <c r="M196">
        <v>489.57</v>
      </c>
      <c r="N196">
        <v>155.05000000000001</v>
      </c>
      <c r="O196">
        <v>24.05</v>
      </c>
      <c r="P196" t="s">
        <v>29</v>
      </c>
      <c r="Q196">
        <v>7.5</v>
      </c>
      <c r="R196" t="str">
        <f t="shared" si="3"/>
        <v>April</v>
      </c>
    </row>
    <row r="197" spans="1:18" x14ac:dyDescent="0.3">
      <c r="A197" t="s">
        <v>410</v>
      </c>
      <c r="B197">
        <v>46116</v>
      </c>
      <c r="C197" t="s">
        <v>185</v>
      </c>
      <c r="D197" t="s">
        <v>32</v>
      </c>
      <c r="E197" t="s">
        <v>32</v>
      </c>
      <c r="F197" t="s">
        <v>33</v>
      </c>
      <c r="G197" t="s">
        <v>27</v>
      </c>
      <c r="H197" t="s">
        <v>23</v>
      </c>
      <c r="I197">
        <v>113.46</v>
      </c>
      <c r="J197">
        <v>6</v>
      </c>
      <c r="K197">
        <v>34.04</v>
      </c>
      <c r="L197">
        <v>714.8</v>
      </c>
      <c r="M197">
        <v>533.61</v>
      </c>
      <c r="N197">
        <v>181.19</v>
      </c>
      <c r="O197">
        <v>25.35</v>
      </c>
      <c r="P197" t="s">
        <v>24</v>
      </c>
      <c r="Q197">
        <v>9.1999999999999993</v>
      </c>
      <c r="R197" t="str">
        <f t="shared" si="3"/>
        <v>April</v>
      </c>
    </row>
    <row r="198" spans="1:18" x14ac:dyDescent="0.3">
      <c r="A198" t="s">
        <v>411</v>
      </c>
      <c r="B198">
        <v>46117</v>
      </c>
      <c r="C198" t="s">
        <v>412</v>
      </c>
      <c r="D198" t="s">
        <v>19</v>
      </c>
      <c r="E198" t="s">
        <v>20</v>
      </c>
      <c r="F198" t="s">
        <v>33</v>
      </c>
      <c r="G198" t="s">
        <v>27</v>
      </c>
      <c r="H198" t="s">
        <v>42</v>
      </c>
      <c r="I198">
        <v>363.62</v>
      </c>
      <c r="J198">
        <v>6</v>
      </c>
      <c r="K198">
        <v>109.09</v>
      </c>
      <c r="L198">
        <v>2290.81</v>
      </c>
      <c r="M198">
        <v>1810.71</v>
      </c>
      <c r="N198">
        <v>480.1</v>
      </c>
      <c r="O198">
        <v>20.96</v>
      </c>
      <c r="P198" t="s">
        <v>29</v>
      </c>
      <c r="Q198">
        <v>6.8</v>
      </c>
      <c r="R198" t="str">
        <f t="shared" si="3"/>
        <v>April</v>
      </c>
    </row>
    <row r="199" spans="1:18" x14ac:dyDescent="0.3">
      <c r="A199" t="s">
        <v>413</v>
      </c>
      <c r="B199">
        <v>46117</v>
      </c>
      <c r="C199" t="s">
        <v>414</v>
      </c>
      <c r="D199" t="s">
        <v>19</v>
      </c>
      <c r="E199" t="s">
        <v>20</v>
      </c>
      <c r="F199" t="s">
        <v>33</v>
      </c>
      <c r="G199" t="s">
        <v>27</v>
      </c>
      <c r="H199" t="s">
        <v>34</v>
      </c>
      <c r="I199">
        <v>69.13</v>
      </c>
      <c r="J199">
        <v>10</v>
      </c>
      <c r="K199">
        <v>34.56</v>
      </c>
      <c r="L199">
        <v>725.86</v>
      </c>
      <c r="M199">
        <v>570.59</v>
      </c>
      <c r="N199">
        <v>155.27000000000001</v>
      </c>
      <c r="O199">
        <v>21.39</v>
      </c>
      <c r="P199" t="s">
        <v>29</v>
      </c>
      <c r="Q199">
        <v>9.6999999999999993</v>
      </c>
      <c r="R199" t="str">
        <f t="shared" si="3"/>
        <v>April</v>
      </c>
    </row>
    <row r="200" spans="1:18" x14ac:dyDescent="0.3">
      <c r="A200" t="s">
        <v>415</v>
      </c>
      <c r="B200">
        <v>46117</v>
      </c>
      <c r="C200" t="s">
        <v>416</v>
      </c>
      <c r="D200" t="s">
        <v>51</v>
      </c>
      <c r="E200" t="s">
        <v>51</v>
      </c>
      <c r="F200" t="s">
        <v>33</v>
      </c>
      <c r="G200" t="s">
        <v>27</v>
      </c>
      <c r="H200" t="s">
        <v>99</v>
      </c>
      <c r="I200">
        <v>94.5</v>
      </c>
      <c r="J200">
        <v>1</v>
      </c>
      <c r="K200">
        <v>4.7300000000000004</v>
      </c>
      <c r="L200">
        <v>99.23</v>
      </c>
      <c r="M200">
        <v>78.95</v>
      </c>
      <c r="N200">
        <v>20.28</v>
      </c>
      <c r="O200">
        <v>20.440000000000001</v>
      </c>
      <c r="P200" t="s">
        <v>38</v>
      </c>
      <c r="Q200">
        <v>8.1</v>
      </c>
      <c r="R200" t="str">
        <f t="shared" si="3"/>
        <v>April</v>
      </c>
    </row>
    <row r="201" spans="1:18" x14ac:dyDescent="0.3">
      <c r="A201" t="s">
        <v>417</v>
      </c>
      <c r="B201">
        <v>46118</v>
      </c>
      <c r="C201" t="s">
        <v>263</v>
      </c>
      <c r="D201" t="s">
        <v>32</v>
      </c>
      <c r="E201" t="s">
        <v>32</v>
      </c>
      <c r="F201" t="s">
        <v>33</v>
      </c>
      <c r="G201" t="s">
        <v>22</v>
      </c>
      <c r="H201" t="s">
        <v>72</v>
      </c>
      <c r="I201">
        <v>120.82</v>
      </c>
      <c r="J201">
        <v>4</v>
      </c>
      <c r="K201">
        <v>24.16</v>
      </c>
      <c r="L201">
        <v>507.44</v>
      </c>
      <c r="M201">
        <v>349.19</v>
      </c>
      <c r="N201">
        <v>158.25</v>
      </c>
      <c r="O201">
        <v>31.19</v>
      </c>
      <c r="P201" t="s">
        <v>46</v>
      </c>
      <c r="Q201">
        <v>8</v>
      </c>
      <c r="R201" t="str">
        <f t="shared" si="3"/>
        <v>April</v>
      </c>
    </row>
    <row r="202" spans="1:18" x14ac:dyDescent="0.3">
      <c r="A202" t="s">
        <v>418</v>
      </c>
      <c r="B202">
        <v>46118</v>
      </c>
      <c r="C202" t="s">
        <v>419</v>
      </c>
      <c r="D202" t="s">
        <v>59</v>
      </c>
      <c r="E202" t="s">
        <v>59</v>
      </c>
      <c r="F202" t="s">
        <v>33</v>
      </c>
      <c r="G202" t="s">
        <v>22</v>
      </c>
      <c r="H202" t="s">
        <v>45</v>
      </c>
      <c r="I202">
        <v>213.44</v>
      </c>
      <c r="J202">
        <v>4</v>
      </c>
      <c r="K202">
        <v>42.69</v>
      </c>
      <c r="L202">
        <v>896.45</v>
      </c>
      <c r="M202">
        <v>741.92</v>
      </c>
      <c r="N202">
        <v>154.53</v>
      </c>
      <c r="O202">
        <v>17.239999999999998</v>
      </c>
      <c r="P202" t="s">
        <v>46</v>
      </c>
      <c r="Q202">
        <v>5</v>
      </c>
      <c r="R202" t="str">
        <f t="shared" si="3"/>
        <v>April</v>
      </c>
    </row>
    <row r="203" spans="1:18" x14ac:dyDescent="0.3">
      <c r="A203" t="s">
        <v>420</v>
      </c>
      <c r="B203">
        <v>46120</v>
      </c>
      <c r="C203" t="s">
        <v>421</v>
      </c>
      <c r="D203" t="s">
        <v>41</v>
      </c>
      <c r="E203" t="s">
        <v>20</v>
      </c>
      <c r="F203" t="s">
        <v>33</v>
      </c>
      <c r="G203" t="s">
        <v>22</v>
      </c>
      <c r="H203" t="s">
        <v>34</v>
      </c>
      <c r="I203">
        <v>86.33</v>
      </c>
      <c r="J203">
        <v>1</v>
      </c>
      <c r="K203">
        <v>4.32</v>
      </c>
      <c r="L203">
        <v>90.65</v>
      </c>
      <c r="M203">
        <v>70.98</v>
      </c>
      <c r="N203">
        <v>19.670000000000002</v>
      </c>
      <c r="O203">
        <v>21.7</v>
      </c>
      <c r="P203" t="s">
        <v>29</v>
      </c>
      <c r="Q203">
        <v>6.8</v>
      </c>
      <c r="R203" t="str">
        <f t="shared" si="3"/>
        <v>April</v>
      </c>
    </row>
    <row r="204" spans="1:18" x14ac:dyDescent="0.3">
      <c r="A204" t="s">
        <v>422</v>
      </c>
      <c r="B204">
        <v>46120</v>
      </c>
      <c r="C204" t="s">
        <v>423</v>
      </c>
      <c r="D204" t="s">
        <v>32</v>
      </c>
      <c r="E204" t="s">
        <v>32</v>
      </c>
      <c r="F204" t="s">
        <v>33</v>
      </c>
      <c r="G204" t="s">
        <v>22</v>
      </c>
      <c r="H204" t="s">
        <v>23</v>
      </c>
      <c r="I204">
        <v>127.86</v>
      </c>
      <c r="J204">
        <v>7</v>
      </c>
      <c r="K204">
        <v>44.75</v>
      </c>
      <c r="L204">
        <v>939.77</v>
      </c>
      <c r="M204">
        <v>633.34</v>
      </c>
      <c r="N204">
        <v>306.43</v>
      </c>
      <c r="O204">
        <v>32.61</v>
      </c>
      <c r="P204" t="s">
        <v>38</v>
      </c>
      <c r="Q204">
        <v>9.5</v>
      </c>
      <c r="R204" t="str">
        <f t="shared" si="3"/>
        <v>April</v>
      </c>
    </row>
    <row r="205" spans="1:18" x14ac:dyDescent="0.3">
      <c r="A205" t="s">
        <v>424</v>
      </c>
      <c r="B205">
        <v>46121</v>
      </c>
      <c r="C205" t="s">
        <v>425</v>
      </c>
      <c r="D205" t="s">
        <v>41</v>
      </c>
      <c r="E205" t="s">
        <v>20</v>
      </c>
      <c r="F205" t="s">
        <v>33</v>
      </c>
      <c r="G205" t="s">
        <v>27</v>
      </c>
      <c r="H205" t="s">
        <v>28</v>
      </c>
      <c r="I205">
        <v>167.81</v>
      </c>
      <c r="J205">
        <v>2</v>
      </c>
      <c r="K205">
        <v>16.78</v>
      </c>
      <c r="L205">
        <v>352.4</v>
      </c>
      <c r="M205">
        <v>278.01</v>
      </c>
      <c r="N205">
        <v>74.39</v>
      </c>
      <c r="O205">
        <v>21.11</v>
      </c>
      <c r="P205" t="s">
        <v>46</v>
      </c>
      <c r="Q205">
        <v>10</v>
      </c>
      <c r="R205" t="str">
        <f t="shared" si="3"/>
        <v>April</v>
      </c>
    </row>
    <row r="206" spans="1:18" x14ac:dyDescent="0.3">
      <c r="A206" t="s">
        <v>426</v>
      </c>
      <c r="B206">
        <v>46121</v>
      </c>
      <c r="C206" t="s">
        <v>306</v>
      </c>
      <c r="D206" t="s">
        <v>59</v>
      </c>
      <c r="E206" t="s">
        <v>59</v>
      </c>
      <c r="F206" t="s">
        <v>21</v>
      </c>
      <c r="G206" t="s">
        <v>27</v>
      </c>
      <c r="H206" t="s">
        <v>99</v>
      </c>
      <c r="I206">
        <v>78.930000000000007</v>
      </c>
      <c r="J206">
        <v>2</v>
      </c>
      <c r="K206">
        <v>7.89</v>
      </c>
      <c r="L206">
        <v>165.75</v>
      </c>
      <c r="M206">
        <v>116.3</v>
      </c>
      <c r="N206">
        <v>49.45</v>
      </c>
      <c r="O206">
        <v>29.83</v>
      </c>
      <c r="P206" t="s">
        <v>427</v>
      </c>
      <c r="Q206">
        <v>7.1</v>
      </c>
      <c r="R206" t="str">
        <f t="shared" si="3"/>
        <v>April</v>
      </c>
    </row>
    <row r="207" spans="1:18" x14ac:dyDescent="0.3">
      <c r="A207" t="s">
        <v>428</v>
      </c>
      <c r="B207">
        <v>46121</v>
      </c>
      <c r="C207" t="s">
        <v>429</v>
      </c>
      <c r="D207" t="s">
        <v>19</v>
      </c>
      <c r="E207" t="s">
        <v>20</v>
      </c>
      <c r="F207" t="s">
        <v>21</v>
      </c>
      <c r="G207" t="s">
        <v>27</v>
      </c>
      <c r="H207" t="s">
        <v>72</v>
      </c>
      <c r="I207">
        <v>252</v>
      </c>
      <c r="J207">
        <v>5</v>
      </c>
      <c r="K207">
        <v>63</v>
      </c>
      <c r="L207">
        <v>1323</v>
      </c>
      <c r="M207">
        <v>925.26</v>
      </c>
      <c r="N207">
        <v>397.74</v>
      </c>
      <c r="O207">
        <v>30.06</v>
      </c>
      <c r="P207" t="s">
        <v>46</v>
      </c>
      <c r="Q207">
        <v>9.6999999999999993</v>
      </c>
      <c r="R207" t="str">
        <f t="shared" si="3"/>
        <v>April</v>
      </c>
    </row>
    <row r="208" spans="1:18" x14ac:dyDescent="0.3">
      <c r="A208" t="s">
        <v>430</v>
      </c>
      <c r="B208">
        <v>46123</v>
      </c>
      <c r="C208" t="s">
        <v>26</v>
      </c>
      <c r="D208" t="s">
        <v>32</v>
      </c>
      <c r="E208" t="s">
        <v>32</v>
      </c>
      <c r="F208" t="s">
        <v>33</v>
      </c>
      <c r="G208" t="s">
        <v>27</v>
      </c>
      <c r="H208" t="s">
        <v>99</v>
      </c>
      <c r="I208">
        <v>130.72999999999999</v>
      </c>
      <c r="J208">
        <v>8</v>
      </c>
      <c r="K208">
        <v>52.29</v>
      </c>
      <c r="L208">
        <v>1098.1300000000001</v>
      </c>
      <c r="M208">
        <v>818.53</v>
      </c>
      <c r="N208">
        <v>279.60000000000002</v>
      </c>
      <c r="O208">
        <v>25.46</v>
      </c>
      <c r="P208" t="s">
        <v>46</v>
      </c>
      <c r="Q208">
        <v>6.3</v>
      </c>
      <c r="R208" t="str">
        <f t="shared" si="3"/>
        <v>April</v>
      </c>
    </row>
    <row r="209" spans="1:18" x14ac:dyDescent="0.3">
      <c r="A209" t="s">
        <v>431</v>
      </c>
      <c r="B209">
        <v>46123</v>
      </c>
      <c r="C209" t="s">
        <v>432</v>
      </c>
      <c r="D209" t="s">
        <v>59</v>
      </c>
      <c r="E209" t="s">
        <v>59</v>
      </c>
      <c r="F209" t="s">
        <v>33</v>
      </c>
      <c r="G209" t="s">
        <v>27</v>
      </c>
      <c r="H209" t="s">
        <v>99</v>
      </c>
      <c r="I209">
        <v>85.26</v>
      </c>
      <c r="J209">
        <v>6</v>
      </c>
      <c r="K209">
        <v>25.58</v>
      </c>
      <c r="L209">
        <v>537.14</v>
      </c>
      <c r="M209">
        <v>393.53</v>
      </c>
      <c r="N209">
        <v>143.61000000000001</v>
      </c>
      <c r="O209">
        <v>26.74</v>
      </c>
      <c r="P209" t="s">
        <v>38</v>
      </c>
      <c r="Q209">
        <v>5.0999999999999996</v>
      </c>
      <c r="R209" t="str">
        <f t="shared" si="3"/>
        <v>April</v>
      </c>
    </row>
    <row r="210" spans="1:18" x14ac:dyDescent="0.3">
      <c r="A210" t="s">
        <v>433</v>
      </c>
      <c r="B210">
        <v>46123</v>
      </c>
      <c r="C210" t="s">
        <v>434</v>
      </c>
      <c r="D210" t="s">
        <v>59</v>
      </c>
      <c r="E210" t="s">
        <v>59</v>
      </c>
      <c r="F210" t="s">
        <v>21</v>
      </c>
      <c r="G210" t="s">
        <v>22</v>
      </c>
      <c r="H210" t="s">
        <v>99</v>
      </c>
      <c r="I210">
        <v>65.73</v>
      </c>
      <c r="J210">
        <v>4</v>
      </c>
      <c r="K210">
        <v>13.15</v>
      </c>
      <c r="L210">
        <v>276.07</v>
      </c>
      <c r="M210">
        <v>187.66</v>
      </c>
      <c r="N210">
        <v>88.41</v>
      </c>
      <c r="O210">
        <v>32.020000000000003</v>
      </c>
      <c r="P210" t="s">
        <v>38</v>
      </c>
      <c r="Q210">
        <v>7.6</v>
      </c>
      <c r="R210" t="str">
        <f t="shared" si="3"/>
        <v>April</v>
      </c>
    </row>
    <row r="211" spans="1:18" x14ac:dyDescent="0.3">
      <c r="A211" t="s">
        <v>435</v>
      </c>
      <c r="B211">
        <v>46124</v>
      </c>
      <c r="C211" t="s">
        <v>436</v>
      </c>
      <c r="D211" t="s">
        <v>32</v>
      </c>
      <c r="E211" t="s">
        <v>32</v>
      </c>
      <c r="F211" t="s">
        <v>33</v>
      </c>
      <c r="G211" t="s">
        <v>22</v>
      </c>
      <c r="H211" t="s">
        <v>72</v>
      </c>
      <c r="I211">
        <v>170.93</v>
      </c>
      <c r="J211">
        <v>7</v>
      </c>
      <c r="K211">
        <v>59.83</v>
      </c>
      <c r="L211">
        <v>1256.3399999999999</v>
      </c>
      <c r="M211">
        <v>1004.32</v>
      </c>
      <c r="N211">
        <v>252.02</v>
      </c>
      <c r="O211">
        <v>20.059999999999999</v>
      </c>
      <c r="P211" t="s">
        <v>35</v>
      </c>
      <c r="Q211">
        <v>6.8</v>
      </c>
      <c r="R211" t="str">
        <f t="shared" si="3"/>
        <v>April</v>
      </c>
    </row>
    <row r="212" spans="1:18" x14ac:dyDescent="0.3">
      <c r="A212" t="s">
        <v>437</v>
      </c>
      <c r="B212">
        <v>46125</v>
      </c>
      <c r="C212" t="s">
        <v>438</v>
      </c>
      <c r="D212" t="s">
        <v>19</v>
      </c>
      <c r="E212" t="s">
        <v>20</v>
      </c>
      <c r="F212" t="s">
        <v>33</v>
      </c>
      <c r="G212" t="s">
        <v>27</v>
      </c>
      <c r="H212" t="s">
        <v>45</v>
      </c>
      <c r="I212">
        <v>286.33</v>
      </c>
      <c r="J212">
        <v>2</v>
      </c>
      <c r="K212">
        <v>28.63</v>
      </c>
      <c r="L212">
        <v>601.29</v>
      </c>
      <c r="M212">
        <v>445.74</v>
      </c>
      <c r="N212">
        <v>155.55000000000001</v>
      </c>
      <c r="O212">
        <v>25.87</v>
      </c>
      <c r="P212" t="s">
        <v>35</v>
      </c>
      <c r="Q212">
        <v>9.8000000000000007</v>
      </c>
      <c r="R212" t="str">
        <f t="shared" si="3"/>
        <v>April</v>
      </c>
    </row>
    <row r="213" spans="1:18" x14ac:dyDescent="0.3">
      <c r="A213" t="s">
        <v>439</v>
      </c>
      <c r="B213">
        <v>46126</v>
      </c>
      <c r="C213" t="s">
        <v>440</v>
      </c>
      <c r="D213" t="s">
        <v>32</v>
      </c>
      <c r="E213" t="s">
        <v>32</v>
      </c>
      <c r="F213" t="s">
        <v>33</v>
      </c>
      <c r="G213" t="s">
        <v>22</v>
      </c>
      <c r="H213" t="s">
        <v>45</v>
      </c>
      <c r="I213">
        <v>194.98</v>
      </c>
      <c r="J213">
        <v>1</v>
      </c>
      <c r="K213">
        <v>9.75</v>
      </c>
      <c r="L213">
        <v>204.73</v>
      </c>
      <c r="M213">
        <v>142.29</v>
      </c>
      <c r="N213">
        <v>62.44</v>
      </c>
      <c r="O213">
        <v>30.5</v>
      </c>
      <c r="P213" t="s">
        <v>46</v>
      </c>
      <c r="Q213">
        <v>6.7</v>
      </c>
      <c r="R213" t="str">
        <f t="shared" si="3"/>
        <v>April</v>
      </c>
    </row>
    <row r="214" spans="1:18" x14ac:dyDescent="0.3">
      <c r="A214" t="s">
        <v>441</v>
      </c>
      <c r="B214">
        <v>46127</v>
      </c>
      <c r="C214" t="s">
        <v>405</v>
      </c>
      <c r="D214" t="s">
        <v>41</v>
      </c>
      <c r="E214" t="s">
        <v>20</v>
      </c>
      <c r="F214" t="s">
        <v>33</v>
      </c>
      <c r="G214" t="s">
        <v>27</v>
      </c>
      <c r="H214" t="s">
        <v>28</v>
      </c>
      <c r="I214">
        <v>140.41999999999999</v>
      </c>
      <c r="J214">
        <v>1</v>
      </c>
      <c r="K214">
        <v>7.02</v>
      </c>
      <c r="L214">
        <v>147.44</v>
      </c>
      <c r="M214">
        <v>120.89</v>
      </c>
      <c r="N214">
        <v>26.55</v>
      </c>
      <c r="O214">
        <v>18.010000000000002</v>
      </c>
      <c r="P214" t="s">
        <v>46</v>
      </c>
      <c r="Q214">
        <v>6.8</v>
      </c>
      <c r="R214" t="str">
        <f t="shared" si="3"/>
        <v>April</v>
      </c>
    </row>
    <row r="215" spans="1:18" x14ac:dyDescent="0.3">
      <c r="A215" t="s">
        <v>442</v>
      </c>
      <c r="B215">
        <v>46129</v>
      </c>
      <c r="C215" t="s">
        <v>443</v>
      </c>
      <c r="D215" t="s">
        <v>41</v>
      </c>
      <c r="E215" t="s">
        <v>20</v>
      </c>
      <c r="F215" t="s">
        <v>21</v>
      </c>
      <c r="G215" t="s">
        <v>27</v>
      </c>
      <c r="H215" t="s">
        <v>28</v>
      </c>
      <c r="I215">
        <v>101.52</v>
      </c>
      <c r="J215">
        <v>6</v>
      </c>
      <c r="K215">
        <v>30.46</v>
      </c>
      <c r="L215">
        <v>639.58000000000004</v>
      </c>
      <c r="M215">
        <v>514.11</v>
      </c>
      <c r="N215">
        <v>125.47</v>
      </c>
      <c r="O215">
        <v>19.62</v>
      </c>
      <c r="P215" t="s">
        <v>24</v>
      </c>
      <c r="Q215">
        <v>7.3</v>
      </c>
      <c r="R215" t="str">
        <f t="shared" si="3"/>
        <v>April</v>
      </c>
    </row>
    <row r="216" spans="1:18" x14ac:dyDescent="0.3">
      <c r="A216" t="s">
        <v>444</v>
      </c>
      <c r="B216">
        <v>46130</v>
      </c>
      <c r="C216" t="s">
        <v>403</v>
      </c>
      <c r="D216" t="s">
        <v>41</v>
      </c>
      <c r="E216" t="s">
        <v>20</v>
      </c>
      <c r="F216" t="s">
        <v>21</v>
      </c>
      <c r="G216" t="s">
        <v>27</v>
      </c>
      <c r="H216" t="s">
        <v>99</v>
      </c>
      <c r="I216">
        <v>69.959999999999994</v>
      </c>
      <c r="J216">
        <v>7</v>
      </c>
      <c r="K216">
        <v>24.49</v>
      </c>
      <c r="L216">
        <v>514.21</v>
      </c>
      <c r="M216">
        <v>419.73</v>
      </c>
      <c r="N216">
        <v>94.48</v>
      </c>
      <c r="O216">
        <v>18.37</v>
      </c>
      <c r="P216" t="s">
        <v>46</v>
      </c>
      <c r="Q216">
        <v>8.6999999999999993</v>
      </c>
      <c r="R216" t="str">
        <f t="shared" si="3"/>
        <v>April</v>
      </c>
    </row>
    <row r="217" spans="1:18" x14ac:dyDescent="0.3">
      <c r="A217" t="s">
        <v>445</v>
      </c>
      <c r="B217">
        <v>46130</v>
      </c>
      <c r="C217" t="s">
        <v>446</v>
      </c>
      <c r="D217" t="s">
        <v>19</v>
      </c>
      <c r="E217" t="s">
        <v>20</v>
      </c>
      <c r="F217" t="s">
        <v>33</v>
      </c>
      <c r="G217" t="s">
        <v>22</v>
      </c>
      <c r="H217" t="s">
        <v>52</v>
      </c>
      <c r="I217">
        <v>61.1</v>
      </c>
      <c r="J217">
        <v>1</v>
      </c>
      <c r="K217">
        <v>3.06</v>
      </c>
      <c r="L217">
        <v>64.16</v>
      </c>
      <c r="M217">
        <v>43.01</v>
      </c>
      <c r="N217">
        <v>21.15</v>
      </c>
      <c r="O217">
        <v>32.96</v>
      </c>
      <c r="P217" t="s">
        <v>29</v>
      </c>
      <c r="Q217">
        <v>8.9</v>
      </c>
      <c r="R217" t="str">
        <f t="shared" si="3"/>
        <v>April</v>
      </c>
    </row>
    <row r="218" spans="1:18" x14ac:dyDescent="0.3">
      <c r="A218" t="s">
        <v>447</v>
      </c>
      <c r="B218">
        <v>46131</v>
      </c>
      <c r="C218" t="s">
        <v>448</v>
      </c>
      <c r="D218" t="s">
        <v>51</v>
      </c>
      <c r="E218" t="s">
        <v>51</v>
      </c>
      <c r="F218" t="s">
        <v>33</v>
      </c>
      <c r="G218" t="s">
        <v>27</v>
      </c>
      <c r="H218" t="s">
        <v>34</v>
      </c>
      <c r="I218">
        <v>51.4</v>
      </c>
      <c r="J218">
        <v>10</v>
      </c>
      <c r="K218">
        <v>25.7</v>
      </c>
      <c r="L218">
        <v>539.70000000000005</v>
      </c>
      <c r="M218">
        <v>378.98</v>
      </c>
      <c r="N218">
        <v>160.72</v>
      </c>
      <c r="O218">
        <v>29.78</v>
      </c>
      <c r="P218" t="s">
        <v>35</v>
      </c>
      <c r="Q218">
        <v>6.6</v>
      </c>
      <c r="R218" t="str">
        <f t="shared" si="3"/>
        <v>April</v>
      </c>
    </row>
    <row r="219" spans="1:18" x14ac:dyDescent="0.3">
      <c r="A219" t="s">
        <v>449</v>
      </c>
      <c r="B219">
        <v>46131</v>
      </c>
      <c r="C219" t="s">
        <v>448</v>
      </c>
      <c r="D219" t="s">
        <v>19</v>
      </c>
      <c r="E219" t="s">
        <v>20</v>
      </c>
      <c r="F219" t="s">
        <v>33</v>
      </c>
      <c r="G219" t="s">
        <v>22</v>
      </c>
      <c r="H219" t="s">
        <v>99</v>
      </c>
      <c r="I219">
        <v>72.45</v>
      </c>
      <c r="J219">
        <v>6</v>
      </c>
      <c r="K219">
        <v>21.74</v>
      </c>
      <c r="L219">
        <v>456.44</v>
      </c>
      <c r="M219">
        <v>319.89999999999998</v>
      </c>
      <c r="N219">
        <v>136.54</v>
      </c>
      <c r="O219">
        <v>29.91</v>
      </c>
      <c r="P219" t="s">
        <v>24</v>
      </c>
      <c r="Q219">
        <v>6.6</v>
      </c>
      <c r="R219" t="str">
        <f t="shared" si="3"/>
        <v>April</v>
      </c>
    </row>
    <row r="220" spans="1:18" x14ac:dyDescent="0.3">
      <c r="A220" t="s">
        <v>450</v>
      </c>
      <c r="B220">
        <v>46132</v>
      </c>
      <c r="C220" t="s">
        <v>451</v>
      </c>
      <c r="D220" t="s">
        <v>32</v>
      </c>
      <c r="E220" t="s">
        <v>32</v>
      </c>
      <c r="F220" t="s">
        <v>33</v>
      </c>
      <c r="G220" t="s">
        <v>22</v>
      </c>
      <c r="H220" t="s">
        <v>99</v>
      </c>
      <c r="I220">
        <v>128.65</v>
      </c>
      <c r="J220">
        <v>9</v>
      </c>
      <c r="K220">
        <v>57.89</v>
      </c>
      <c r="L220">
        <v>1215.74</v>
      </c>
      <c r="M220">
        <v>991.53</v>
      </c>
      <c r="N220">
        <v>224.21</v>
      </c>
      <c r="O220">
        <v>18.440000000000001</v>
      </c>
      <c r="P220" t="s">
        <v>35</v>
      </c>
      <c r="Q220">
        <v>7.1</v>
      </c>
      <c r="R220" t="str">
        <f t="shared" si="3"/>
        <v>April</v>
      </c>
    </row>
    <row r="221" spans="1:18" x14ac:dyDescent="0.3">
      <c r="A221" t="s">
        <v>452</v>
      </c>
      <c r="B221">
        <v>46133</v>
      </c>
      <c r="C221" t="s">
        <v>453</v>
      </c>
      <c r="D221" t="s">
        <v>41</v>
      </c>
      <c r="E221" t="s">
        <v>20</v>
      </c>
      <c r="F221" t="s">
        <v>33</v>
      </c>
      <c r="G221" t="s">
        <v>27</v>
      </c>
      <c r="H221" t="s">
        <v>23</v>
      </c>
      <c r="I221">
        <v>83.87</v>
      </c>
      <c r="J221">
        <v>9</v>
      </c>
      <c r="K221">
        <v>37.74</v>
      </c>
      <c r="L221">
        <v>792.57</v>
      </c>
      <c r="M221">
        <v>656.44</v>
      </c>
      <c r="N221">
        <v>136.13</v>
      </c>
      <c r="O221">
        <v>17.18</v>
      </c>
      <c r="P221" t="s">
        <v>38</v>
      </c>
      <c r="Q221">
        <v>6.8</v>
      </c>
      <c r="R221" t="str">
        <f t="shared" si="3"/>
        <v>April</v>
      </c>
    </row>
    <row r="222" spans="1:18" x14ac:dyDescent="0.3">
      <c r="A222" t="s">
        <v>454</v>
      </c>
      <c r="B222">
        <v>46133</v>
      </c>
      <c r="C222" t="s">
        <v>250</v>
      </c>
      <c r="D222" t="s">
        <v>19</v>
      </c>
      <c r="E222" t="s">
        <v>20</v>
      </c>
      <c r="F222" t="s">
        <v>21</v>
      </c>
      <c r="G222" t="s">
        <v>27</v>
      </c>
      <c r="H222" t="s">
        <v>23</v>
      </c>
      <c r="I222">
        <v>73.55</v>
      </c>
      <c r="J222">
        <v>8</v>
      </c>
      <c r="K222">
        <v>29.42</v>
      </c>
      <c r="L222">
        <v>617.82000000000005</v>
      </c>
      <c r="M222">
        <v>448.94</v>
      </c>
      <c r="N222">
        <v>168.88</v>
      </c>
      <c r="O222">
        <v>27.33</v>
      </c>
      <c r="P222" t="s">
        <v>46</v>
      </c>
      <c r="Q222">
        <v>7.3</v>
      </c>
      <c r="R222" t="str">
        <f t="shared" si="3"/>
        <v>April</v>
      </c>
    </row>
    <row r="223" spans="1:18" x14ac:dyDescent="0.3">
      <c r="A223" t="s">
        <v>455</v>
      </c>
      <c r="B223">
        <v>46133</v>
      </c>
      <c r="C223" t="s">
        <v>456</v>
      </c>
      <c r="D223" t="s">
        <v>59</v>
      </c>
      <c r="E223" t="s">
        <v>59</v>
      </c>
      <c r="F223" t="s">
        <v>21</v>
      </c>
      <c r="G223" t="s">
        <v>27</v>
      </c>
      <c r="H223" t="s">
        <v>99</v>
      </c>
      <c r="I223">
        <v>92.73</v>
      </c>
      <c r="J223">
        <v>3</v>
      </c>
      <c r="K223">
        <v>13.91</v>
      </c>
      <c r="L223">
        <v>292.10000000000002</v>
      </c>
      <c r="M223">
        <v>233.98</v>
      </c>
      <c r="N223">
        <v>58.12</v>
      </c>
      <c r="O223">
        <v>19.899999999999999</v>
      </c>
      <c r="P223" t="s">
        <v>46</v>
      </c>
      <c r="Q223">
        <v>9.1999999999999993</v>
      </c>
      <c r="R223" t="str">
        <f t="shared" si="3"/>
        <v>April</v>
      </c>
    </row>
    <row r="224" spans="1:18" x14ac:dyDescent="0.3">
      <c r="A224" t="s">
        <v>457</v>
      </c>
      <c r="B224">
        <v>46133</v>
      </c>
      <c r="C224" t="s">
        <v>88</v>
      </c>
      <c r="D224" t="s">
        <v>41</v>
      </c>
      <c r="E224" t="s">
        <v>20</v>
      </c>
      <c r="F224" t="s">
        <v>33</v>
      </c>
      <c r="G224" t="s">
        <v>22</v>
      </c>
      <c r="H224" t="s">
        <v>28</v>
      </c>
      <c r="I224">
        <v>126.59</v>
      </c>
      <c r="J224">
        <v>7</v>
      </c>
      <c r="K224">
        <v>44.31</v>
      </c>
      <c r="L224">
        <v>930.44</v>
      </c>
      <c r="M224">
        <v>622.48</v>
      </c>
      <c r="N224">
        <v>307.95999999999998</v>
      </c>
      <c r="O224">
        <v>33.1</v>
      </c>
      <c r="P224" t="s">
        <v>46</v>
      </c>
      <c r="Q224">
        <v>6.9</v>
      </c>
      <c r="R224" t="str">
        <f t="shared" si="3"/>
        <v>April</v>
      </c>
    </row>
    <row r="225" spans="1:18" x14ac:dyDescent="0.3">
      <c r="A225" t="s">
        <v>458</v>
      </c>
      <c r="B225">
        <v>46133</v>
      </c>
      <c r="C225" t="s">
        <v>459</v>
      </c>
      <c r="D225" t="s">
        <v>41</v>
      </c>
      <c r="E225" t="s">
        <v>20</v>
      </c>
      <c r="F225" t="s">
        <v>33</v>
      </c>
      <c r="G225" t="s">
        <v>22</v>
      </c>
      <c r="H225" t="s">
        <v>99</v>
      </c>
      <c r="I225">
        <v>118.03</v>
      </c>
      <c r="J225">
        <v>3</v>
      </c>
      <c r="K225">
        <v>17.7</v>
      </c>
      <c r="L225">
        <v>371.79</v>
      </c>
      <c r="M225">
        <v>307.67</v>
      </c>
      <c r="N225">
        <v>64.12</v>
      </c>
      <c r="O225">
        <v>17.25</v>
      </c>
      <c r="P225" t="s">
        <v>46</v>
      </c>
      <c r="Q225">
        <v>10</v>
      </c>
      <c r="R225" t="str">
        <f t="shared" si="3"/>
        <v>April</v>
      </c>
    </row>
    <row r="226" spans="1:18" x14ac:dyDescent="0.3">
      <c r="A226" t="s">
        <v>460</v>
      </c>
      <c r="B226">
        <v>46134</v>
      </c>
      <c r="C226" t="s">
        <v>461</v>
      </c>
      <c r="D226" t="s">
        <v>19</v>
      </c>
      <c r="E226" t="s">
        <v>20</v>
      </c>
      <c r="F226" t="s">
        <v>33</v>
      </c>
      <c r="G226" t="s">
        <v>22</v>
      </c>
      <c r="H226" t="s">
        <v>28</v>
      </c>
      <c r="I226">
        <v>199.75</v>
      </c>
      <c r="J226">
        <v>7</v>
      </c>
      <c r="K226">
        <v>69.91</v>
      </c>
      <c r="L226">
        <v>1468.16</v>
      </c>
      <c r="M226">
        <v>1112.99</v>
      </c>
      <c r="N226">
        <v>355.17</v>
      </c>
      <c r="O226">
        <v>24.19</v>
      </c>
      <c r="P226" t="s">
        <v>46</v>
      </c>
      <c r="Q226">
        <v>8.9</v>
      </c>
      <c r="R226" t="str">
        <f t="shared" si="3"/>
        <v>April</v>
      </c>
    </row>
    <row r="227" spans="1:18" x14ac:dyDescent="0.3">
      <c r="A227" t="s">
        <v>462</v>
      </c>
      <c r="B227">
        <v>46134</v>
      </c>
      <c r="C227" t="s">
        <v>463</v>
      </c>
      <c r="D227" t="s">
        <v>41</v>
      </c>
      <c r="E227" t="s">
        <v>20</v>
      </c>
      <c r="F227" t="s">
        <v>33</v>
      </c>
      <c r="G227" t="s">
        <v>27</v>
      </c>
      <c r="H227" t="s">
        <v>23</v>
      </c>
      <c r="I227">
        <v>115.54</v>
      </c>
      <c r="J227">
        <v>6</v>
      </c>
      <c r="K227">
        <v>34.659999999999997</v>
      </c>
      <c r="L227">
        <v>727.9</v>
      </c>
      <c r="M227">
        <v>529.4</v>
      </c>
      <c r="N227">
        <v>198.5</v>
      </c>
      <c r="O227">
        <v>27.27</v>
      </c>
      <c r="P227" t="s">
        <v>46</v>
      </c>
      <c r="Q227">
        <v>8</v>
      </c>
      <c r="R227" t="str">
        <f t="shared" si="3"/>
        <v>April</v>
      </c>
    </row>
    <row r="228" spans="1:18" x14ac:dyDescent="0.3">
      <c r="A228" t="s">
        <v>464</v>
      </c>
      <c r="B228">
        <v>46135</v>
      </c>
      <c r="C228" t="s">
        <v>465</v>
      </c>
      <c r="D228" t="s">
        <v>59</v>
      </c>
      <c r="E228" t="s">
        <v>59</v>
      </c>
      <c r="F228" t="s">
        <v>33</v>
      </c>
      <c r="G228" t="s">
        <v>22</v>
      </c>
      <c r="H228" t="s">
        <v>34</v>
      </c>
      <c r="I228">
        <v>64.72</v>
      </c>
      <c r="J228">
        <v>4</v>
      </c>
      <c r="K228">
        <v>12.94</v>
      </c>
      <c r="L228">
        <v>271.82</v>
      </c>
      <c r="M228">
        <v>216.85</v>
      </c>
      <c r="N228">
        <v>54.97</v>
      </c>
      <c r="O228">
        <v>20.22</v>
      </c>
      <c r="P228" t="s">
        <v>46</v>
      </c>
      <c r="Q228">
        <v>7.3</v>
      </c>
      <c r="R228" t="str">
        <f t="shared" si="3"/>
        <v>April</v>
      </c>
    </row>
    <row r="229" spans="1:18" x14ac:dyDescent="0.3">
      <c r="A229" t="s">
        <v>466</v>
      </c>
      <c r="B229">
        <v>46135</v>
      </c>
      <c r="C229" t="s">
        <v>467</v>
      </c>
      <c r="D229" t="s">
        <v>41</v>
      </c>
      <c r="E229" t="s">
        <v>20</v>
      </c>
      <c r="F229" t="s">
        <v>33</v>
      </c>
      <c r="G229" t="s">
        <v>27</v>
      </c>
      <c r="H229" t="s">
        <v>28</v>
      </c>
      <c r="I229">
        <v>161.58000000000001</v>
      </c>
      <c r="J229">
        <v>3</v>
      </c>
      <c r="K229">
        <v>24.24</v>
      </c>
      <c r="L229">
        <v>508.98</v>
      </c>
      <c r="M229">
        <v>375.53</v>
      </c>
      <c r="N229">
        <v>133.44999999999999</v>
      </c>
      <c r="O229">
        <v>26.22</v>
      </c>
      <c r="P229" t="s">
        <v>24</v>
      </c>
      <c r="Q229">
        <v>7.3</v>
      </c>
      <c r="R229" t="str">
        <f t="shared" si="3"/>
        <v>April</v>
      </c>
    </row>
    <row r="230" spans="1:18" x14ac:dyDescent="0.3">
      <c r="A230" t="s">
        <v>468</v>
      </c>
      <c r="B230">
        <v>46135</v>
      </c>
      <c r="C230" t="s">
        <v>469</v>
      </c>
      <c r="D230" t="s">
        <v>32</v>
      </c>
      <c r="E230" t="s">
        <v>32</v>
      </c>
      <c r="F230" t="s">
        <v>21</v>
      </c>
      <c r="G230" t="s">
        <v>27</v>
      </c>
      <c r="H230" t="s">
        <v>42</v>
      </c>
      <c r="I230">
        <v>366.89</v>
      </c>
      <c r="J230">
        <v>10</v>
      </c>
      <c r="K230">
        <v>183.44</v>
      </c>
      <c r="L230">
        <v>3852.34</v>
      </c>
      <c r="M230">
        <v>2936.69</v>
      </c>
      <c r="N230">
        <v>915.65</v>
      </c>
      <c r="O230">
        <v>23.77</v>
      </c>
      <c r="P230" t="s">
        <v>29</v>
      </c>
      <c r="Q230">
        <v>8</v>
      </c>
      <c r="R230" t="str">
        <f t="shared" si="3"/>
        <v>April</v>
      </c>
    </row>
    <row r="231" spans="1:18" x14ac:dyDescent="0.3">
      <c r="A231" t="s">
        <v>470</v>
      </c>
      <c r="B231">
        <v>46136</v>
      </c>
      <c r="C231" t="s">
        <v>471</v>
      </c>
      <c r="D231" t="s">
        <v>59</v>
      </c>
      <c r="E231" t="s">
        <v>59</v>
      </c>
      <c r="F231" t="s">
        <v>21</v>
      </c>
      <c r="G231" t="s">
        <v>22</v>
      </c>
      <c r="H231" t="s">
        <v>52</v>
      </c>
      <c r="I231">
        <v>95.32</v>
      </c>
      <c r="J231">
        <v>4</v>
      </c>
      <c r="K231">
        <v>19.059999999999999</v>
      </c>
      <c r="L231">
        <v>400.34</v>
      </c>
      <c r="M231">
        <v>329.8</v>
      </c>
      <c r="N231">
        <v>70.540000000000006</v>
      </c>
      <c r="O231">
        <v>17.62</v>
      </c>
      <c r="P231" t="s">
        <v>46</v>
      </c>
      <c r="Q231">
        <v>6.4</v>
      </c>
      <c r="R231" t="str">
        <f t="shared" si="3"/>
        <v>April</v>
      </c>
    </row>
    <row r="232" spans="1:18" x14ac:dyDescent="0.3">
      <c r="A232" t="s">
        <v>472</v>
      </c>
      <c r="B232">
        <v>46136</v>
      </c>
      <c r="C232" t="s">
        <v>473</v>
      </c>
      <c r="D232" t="s">
        <v>19</v>
      </c>
      <c r="E232" t="s">
        <v>20</v>
      </c>
      <c r="F232" t="s">
        <v>33</v>
      </c>
      <c r="G232" t="s">
        <v>22</v>
      </c>
      <c r="H232" t="s">
        <v>23</v>
      </c>
      <c r="I232">
        <v>144.9</v>
      </c>
      <c r="J232">
        <v>4</v>
      </c>
      <c r="K232">
        <v>28.98</v>
      </c>
      <c r="L232">
        <v>608.58000000000004</v>
      </c>
      <c r="M232">
        <v>406.28</v>
      </c>
      <c r="N232">
        <v>202.3</v>
      </c>
      <c r="O232">
        <v>33.24</v>
      </c>
      <c r="P232" t="s">
        <v>46</v>
      </c>
      <c r="Q232">
        <v>8.6999999999999993</v>
      </c>
      <c r="R232" t="str">
        <f t="shared" si="3"/>
        <v>April</v>
      </c>
    </row>
    <row r="233" spans="1:18" x14ac:dyDescent="0.3">
      <c r="A233" t="s">
        <v>474</v>
      </c>
      <c r="B233">
        <v>46137</v>
      </c>
      <c r="C233" t="s">
        <v>475</v>
      </c>
      <c r="D233" t="s">
        <v>32</v>
      </c>
      <c r="E233" t="s">
        <v>32</v>
      </c>
      <c r="F233" t="s">
        <v>21</v>
      </c>
      <c r="G233" t="s">
        <v>27</v>
      </c>
      <c r="H233" t="s">
        <v>45</v>
      </c>
      <c r="I233">
        <v>222.37</v>
      </c>
      <c r="J233">
        <v>7</v>
      </c>
      <c r="K233">
        <v>77.83</v>
      </c>
      <c r="L233">
        <v>1634.42</v>
      </c>
      <c r="M233">
        <v>1230.1500000000001</v>
      </c>
      <c r="N233">
        <v>404.27</v>
      </c>
      <c r="O233">
        <v>24.73</v>
      </c>
      <c r="P233" t="s">
        <v>46</v>
      </c>
      <c r="Q233">
        <v>9.1999999999999993</v>
      </c>
      <c r="R233" t="str">
        <f t="shared" si="3"/>
        <v>April</v>
      </c>
    </row>
    <row r="234" spans="1:18" x14ac:dyDescent="0.3">
      <c r="A234" t="s">
        <v>476</v>
      </c>
      <c r="B234">
        <v>46137</v>
      </c>
      <c r="C234" t="s">
        <v>477</v>
      </c>
      <c r="D234" t="s">
        <v>59</v>
      </c>
      <c r="E234" t="s">
        <v>59</v>
      </c>
      <c r="F234" t="s">
        <v>33</v>
      </c>
      <c r="G234" t="s">
        <v>22</v>
      </c>
      <c r="H234" t="s">
        <v>28</v>
      </c>
      <c r="I234">
        <v>151.53</v>
      </c>
      <c r="J234">
        <v>10</v>
      </c>
      <c r="K234">
        <v>75.760000000000005</v>
      </c>
      <c r="L234">
        <v>1591.06</v>
      </c>
      <c r="M234">
        <v>1174.24</v>
      </c>
      <c r="N234">
        <v>416.82</v>
      </c>
      <c r="O234">
        <v>26.2</v>
      </c>
      <c r="P234" t="s">
        <v>24</v>
      </c>
      <c r="Q234">
        <v>7.5</v>
      </c>
      <c r="R234" t="str">
        <f t="shared" si="3"/>
        <v>April</v>
      </c>
    </row>
    <row r="235" spans="1:18" x14ac:dyDescent="0.3">
      <c r="A235" t="s">
        <v>478</v>
      </c>
      <c r="B235">
        <v>46138</v>
      </c>
      <c r="C235" t="s">
        <v>120</v>
      </c>
      <c r="D235" t="s">
        <v>19</v>
      </c>
      <c r="E235" t="s">
        <v>20</v>
      </c>
      <c r="F235" t="s">
        <v>33</v>
      </c>
      <c r="G235" t="s">
        <v>27</v>
      </c>
      <c r="H235" t="s">
        <v>28</v>
      </c>
      <c r="I235">
        <v>125.29</v>
      </c>
      <c r="J235">
        <v>4</v>
      </c>
      <c r="K235">
        <v>25.06</v>
      </c>
      <c r="L235">
        <v>526.22</v>
      </c>
      <c r="M235">
        <v>354.87</v>
      </c>
      <c r="N235">
        <v>171.35</v>
      </c>
      <c r="O235">
        <v>32.56</v>
      </c>
      <c r="P235" t="s">
        <v>46</v>
      </c>
      <c r="Q235">
        <v>5.6</v>
      </c>
      <c r="R235" t="str">
        <f t="shared" si="3"/>
        <v>April</v>
      </c>
    </row>
    <row r="236" spans="1:18" x14ac:dyDescent="0.3">
      <c r="A236" t="s">
        <v>479</v>
      </c>
      <c r="B236">
        <v>46139</v>
      </c>
      <c r="C236" t="s">
        <v>105</v>
      </c>
      <c r="D236" t="s">
        <v>32</v>
      </c>
      <c r="E236" t="s">
        <v>32</v>
      </c>
      <c r="F236" t="s">
        <v>21</v>
      </c>
      <c r="G236" t="s">
        <v>22</v>
      </c>
      <c r="H236" t="s">
        <v>52</v>
      </c>
      <c r="I236">
        <v>56.54</v>
      </c>
      <c r="J236">
        <v>10</v>
      </c>
      <c r="K236">
        <v>28.27</v>
      </c>
      <c r="L236">
        <v>593.66999999999996</v>
      </c>
      <c r="M236">
        <v>427.43</v>
      </c>
      <c r="N236">
        <v>166.24</v>
      </c>
      <c r="O236">
        <v>28</v>
      </c>
      <c r="P236" t="s">
        <v>35</v>
      </c>
      <c r="Q236">
        <v>7.1</v>
      </c>
      <c r="R236" t="str">
        <f t="shared" si="3"/>
        <v>April</v>
      </c>
    </row>
    <row r="237" spans="1:18" x14ac:dyDescent="0.3">
      <c r="A237" t="s">
        <v>480</v>
      </c>
      <c r="B237">
        <v>46139</v>
      </c>
      <c r="C237" t="s">
        <v>481</v>
      </c>
      <c r="D237" t="s">
        <v>41</v>
      </c>
      <c r="E237" t="s">
        <v>20</v>
      </c>
      <c r="F237" t="s">
        <v>33</v>
      </c>
      <c r="G237" t="s">
        <v>22</v>
      </c>
      <c r="H237" t="s">
        <v>52</v>
      </c>
      <c r="I237">
        <v>95.43</v>
      </c>
      <c r="J237">
        <v>7</v>
      </c>
      <c r="K237">
        <v>33.4</v>
      </c>
      <c r="L237">
        <v>701.41</v>
      </c>
      <c r="M237">
        <v>557.72</v>
      </c>
      <c r="N237">
        <v>143.69</v>
      </c>
      <c r="O237">
        <v>20.49</v>
      </c>
      <c r="P237" t="s">
        <v>46</v>
      </c>
      <c r="Q237">
        <v>7.5</v>
      </c>
      <c r="R237" t="str">
        <f t="shared" si="3"/>
        <v>April</v>
      </c>
    </row>
    <row r="238" spans="1:18" x14ac:dyDescent="0.3">
      <c r="A238" t="s">
        <v>482</v>
      </c>
      <c r="B238">
        <v>46139</v>
      </c>
      <c r="C238" t="s">
        <v>483</v>
      </c>
      <c r="D238" t="s">
        <v>51</v>
      </c>
      <c r="E238" t="s">
        <v>51</v>
      </c>
      <c r="F238" t="s">
        <v>21</v>
      </c>
      <c r="G238" t="s">
        <v>27</v>
      </c>
      <c r="H238" t="s">
        <v>72</v>
      </c>
      <c r="I238">
        <v>233.85</v>
      </c>
      <c r="J238">
        <v>3</v>
      </c>
      <c r="K238">
        <v>35.08</v>
      </c>
      <c r="L238">
        <v>736.63</v>
      </c>
      <c r="M238">
        <v>615.69000000000005</v>
      </c>
      <c r="N238">
        <v>120.94</v>
      </c>
      <c r="O238">
        <v>16.420000000000002</v>
      </c>
      <c r="P238" t="s">
        <v>46</v>
      </c>
      <c r="Q238">
        <v>8</v>
      </c>
      <c r="R238" t="str">
        <f t="shared" si="3"/>
        <v>April</v>
      </c>
    </row>
    <row r="239" spans="1:18" x14ac:dyDescent="0.3">
      <c r="A239" t="s">
        <v>484</v>
      </c>
      <c r="B239">
        <v>46139</v>
      </c>
      <c r="C239" t="s">
        <v>287</v>
      </c>
      <c r="D239" t="s">
        <v>41</v>
      </c>
      <c r="E239" t="s">
        <v>20</v>
      </c>
      <c r="F239" t="s">
        <v>33</v>
      </c>
      <c r="G239" t="s">
        <v>27</v>
      </c>
      <c r="H239" t="s">
        <v>34</v>
      </c>
      <c r="I239">
        <v>56.66</v>
      </c>
      <c r="J239">
        <v>10</v>
      </c>
      <c r="K239">
        <v>28.33</v>
      </c>
      <c r="L239">
        <v>594.92999999999995</v>
      </c>
      <c r="M239">
        <v>433.72</v>
      </c>
      <c r="N239">
        <v>161.21</v>
      </c>
      <c r="O239">
        <v>27.1</v>
      </c>
      <c r="P239" t="s">
        <v>38</v>
      </c>
      <c r="Q239">
        <v>7.6</v>
      </c>
      <c r="R239" t="str">
        <f t="shared" si="3"/>
        <v>April</v>
      </c>
    </row>
    <row r="240" spans="1:18" x14ac:dyDescent="0.3">
      <c r="A240" t="s">
        <v>485</v>
      </c>
      <c r="B240">
        <v>46140</v>
      </c>
      <c r="C240" t="s">
        <v>486</v>
      </c>
      <c r="D240" t="s">
        <v>59</v>
      </c>
      <c r="E240" t="s">
        <v>59</v>
      </c>
      <c r="F240" t="s">
        <v>21</v>
      </c>
      <c r="G240" t="s">
        <v>27</v>
      </c>
      <c r="H240" t="s">
        <v>72</v>
      </c>
      <c r="I240">
        <v>158.38</v>
      </c>
      <c r="J240">
        <v>5</v>
      </c>
      <c r="K240">
        <v>39.6</v>
      </c>
      <c r="L240">
        <v>831.5</v>
      </c>
      <c r="M240">
        <v>596.63</v>
      </c>
      <c r="N240">
        <v>234.87</v>
      </c>
      <c r="O240">
        <v>28.25</v>
      </c>
      <c r="P240" t="s">
        <v>24</v>
      </c>
      <c r="Q240">
        <v>9</v>
      </c>
      <c r="R240" t="str">
        <f t="shared" si="3"/>
        <v>April</v>
      </c>
    </row>
    <row r="241" spans="1:18" x14ac:dyDescent="0.3">
      <c r="A241" t="s">
        <v>487</v>
      </c>
      <c r="B241">
        <v>46140</v>
      </c>
      <c r="C241" t="s">
        <v>488</v>
      </c>
      <c r="D241" t="s">
        <v>59</v>
      </c>
      <c r="E241" t="s">
        <v>59</v>
      </c>
      <c r="F241" t="s">
        <v>33</v>
      </c>
      <c r="G241" t="s">
        <v>27</v>
      </c>
      <c r="H241" t="s">
        <v>42</v>
      </c>
      <c r="I241">
        <v>299.83</v>
      </c>
      <c r="J241">
        <v>1</v>
      </c>
      <c r="K241">
        <v>14.99</v>
      </c>
      <c r="L241">
        <v>314.82</v>
      </c>
      <c r="M241">
        <v>255.71</v>
      </c>
      <c r="N241">
        <v>59.11</v>
      </c>
      <c r="O241">
        <v>18.78</v>
      </c>
      <c r="P241" t="s">
        <v>46</v>
      </c>
      <c r="Q241">
        <v>6.6</v>
      </c>
      <c r="R241" t="str">
        <f t="shared" si="3"/>
        <v>April</v>
      </c>
    </row>
    <row r="242" spans="1:18" x14ac:dyDescent="0.3">
      <c r="A242" t="s">
        <v>489</v>
      </c>
      <c r="B242">
        <v>46140</v>
      </c>
      <c r="C242" t="s">
        <v>490</v>
      </c>
      <c r="D242" t="s">
        <v>41</v>
      </c>
      <c r="E242" t="s">
        <v>20</v>
      </c>
      <c r="F242" t="s">
        <v>33</v>
      </c>
      <c r="G242" t="s">
        <v>22</v>
      </c>
      <c r="H242" t="s">
        <v>23</v>
      </c>
      <c r="I242">
        <v>114.41</v>
      </c>
      <c r="J242">
        <v>6</v>
      </c>
      <c r="K242">
        <v>34.32</v>
      </c>
      <c r="L242">
        <v>720.78</v>
      </c>
      <c r="M242">
        <v>552.04999999999995</v>
      </c>
      <c r="N242">
        <v>168.73</v>
      </c>
      <c r="O242">
        <v>23.41</v>
      </c>
      <c r="P242" t="s">
        <v>29</v>
      </c>
      <c r="Q242">
        <v>9.1999999999999993</v>
      </c>
      <c r="R242" t="str">
        <f t="shared" si="3"/>
        <v>April</v>
      </c>
    </row>
    <row r="243" spans="1:18" x14ac:dyDescent="0.3">
      <c r="A243" t="s">
        <v>491</v>
      </c>
      <c r="B243">
        <v>46141</v>
      </c>
      <c r="C243" t="s">
        <v>236</v>
      </c>
      <c r="D243" t="s">
        <v>59</v>
      </c>
      <c r="E243" t="s">
        <v>59</v>
      </c>
      <c r="F243" t="s">
        <v>21</v>
      </c>
      <c r="G243" t="s">
        <v>22</v>
      </c>
      <c r="H243" t="s">
        <v>28</v>
      </c>
      <c r="I243">
        <v>137.69999999999999</v>
      </c>
      <c r="J243">
        <v>8</v>
      </c>
      <c r="K243">
        <v>55.08</v>
      </c>
      <c r="L243">
        <v>1156.68</v>
      </c>
      <c r="M243">
        <v>872.36</v>
      </c>
      <c r="N243">
        <v>284.32</v>
      </c>
      <c r="O243">
        <v>24.58</v>
      </c>
      <c r="P243" t="s">
        <v>46</v>
      </c>
      <c r="Q243">
        <v>7.6</v>
      </c>
      <c r="R243" t="str">
        <f t="shared" si="3"/>
        <v>April</v>
      </c>
    </row>
    <row r="244" spans="1:18" x14ac:dyDescent="0.3">
      <c r="A244" t="s">
        <v>492</v>
      </c>
      <c r="B244">
        <v>46141</v>
      </c>
      <c r="C244" t="s">
        <v>493</v>
      </c>
      <c r="D244" t="s">
        <v>41</v>
      </c>
      <c r="E244" t="s">
        <v>20</v>
      </c>
      <c r="F244" t="s">
        <v>33</v>
      </c>
      <c r="G244" t="s">
        <v>27</v>
      </c>
      <c r="H244" t="s">
        <v>99</v>
      </c>
      <c r="I244">
        <v>133.77000000000001</v>
      </c>
      <c r="J244">
        <v>5</v>
      </c>
      <c r="K244">
        <v>33.44</v>
      </c>
      <c r="L244">
        <v>702.29</v>
      </c>
      <c r="M244">
        <v>521.54</v>
      </c>
      <c r="N244">
        <v>180.75</v>
      </c>
      <c r="O244">
        <v>25.74</v>
      </c>
      <c r="P244" t="s">
        <v>24</v>
      </c>
      <c r="Q244">
        <v>8.5</v>
      </c>
      <c r="R244" t="str">
        <f t="shared" si="3"/>
        <v>April</v>
      </c>
    </row>
    <row r="245" spans="1:18" x14ac:dyDescent="0.3">
      <c r="A245" t="s">
        <v>494</v>
      </c>
      <c r="B245">
        <v>46143</v>
      </c>
      <c r="C245" t="s">
        <v>495</v>
      </c>
      <c r="D245" t="s">
        <v>51</v>
      </c>
      <c r="E245" t="s">
        <v>51</v>
      </c>
      <c r="F245" t="s">
        <v>21</v>
      </c>
      <c r="G245" t="s">
        <v>22</v>
      </c>
      <c r="H245" t="s">
        <v>34</v>
      </c>
      <c r="I245">
        <v>82.02</v>
      </c>
      <c r="J245">
        <v>5</v>
      </c>
      <c r="K245">
        <v>20.5</v>
      </c>
      <c r="L245">
        <v>430.6</v>
      </c>
      <c r="M245">
        <v>317.16000000000003</v>
      </c>
      <c r="N245">
        <v>113.44</v>
      </c>
      <c r="O245">
        <v>26.34</v>
      </c>
      <c r="P245" t="s">
        <v>24</v>
      </c>
      <c r="Q245">
        <v>5</v>
      </c>
      <c r="R245" t="str">
        <f t="shared" si="3"/>
        <v>May</v>
      </c>
    </row>
    <row r="246" spans="1:18" x14ac:dyDescent="0.3">
      <c r="A246" t="s">
        <v>496</v>
      </c>
      <c r="B246">
        <v>46143</v>
      </c>
      <c r="C246" t="s">
        <v>497</v>
      </c>
      <c r="D246" t="s">
        <v>59</v>
      </c>
      <c r="E246" t="s">
        <v>59</v>
      </c>
      <c r="F246" t="s">
        <v>33</v>
      </c>
      <c r="G246" t="s">
        <v>27</v>
      </c>
      <c r="H246" t="s">
        <v>28</v>
      </c>
      <c r="I246">
        <v>109.41</v>
      </c>
      <c r="J246">
        <v>6</v>
      </c>
      <c r="K246">
        <v>32.82</v>
      </c>
      <c r="L246">
        <v>689.28</v>
      </c>
      <c r="M246">
        <v>522</v>
      </c>
      <c r="N246">
        <v>167.28</v>
      </c>
      <c r="O246">
        <v>24.27</v>
      </c>
      <c r="P246" t="s">
        <v>46</v>
      </c>
      <c r="Q246">
        <v>8.1999999999999993</v>
      </c>
      <c r="R246" t="str">
        <f t="shared" si="3"/>
        <v>May</v>
      </c>
    </row>
    <row r="247" spans="1:18" x14ac:dyDescent="0.3">
      <c r="A247" t="s">
        <v>498</v>
      </c>
      <c r="B247">
        <v>46144</v>
      </c>
      <c r="C247" t="s">
        <v>499</v>
      </c>
      <c r="D247" t="s">
        <v>59</v>
      </c>
      <c r="E247" t="s">
        <v>59</v>
      </c>
      <c r="F247" t="s">
        <v>33</v>
      </c>
      <c r="G247" t="s">
        <v>22</v>
      </c>
      <c r="H247" t="s">
        <v>99</v>
      </c>
      <c r="I247">
        <v>84.17</v>
      </c>
      <c r="J247">
        <v>1</v>
      </c>
      <c r="K247">
        <v>4.21</v>
      </c>
      <c r="L247">
        <v>88.38</v>
      </c>
      <c r="M247">
        <v>66.430000000000007</v>
      </c>
      <c r="N247">
        <v>21.95</v>
      </c>
      <c r="O247">
        <v>24.84</v>
      </c>
      <c r="P247" t="s">
        <v>46</v>
      </c>
      <c r="Q247">
        <v>8.4</v>
      </c>
      <c r="R247" t="str">
        <f t="shared" si="3"/>
        <v>May</v>
      </c>
    </row>
    <row r="248" spans="1:18" x14ac:dyDescent="0.3">
      <c r="A248" t="s">
        <v>500</v>
      </c>
      <c r="B248">
        <v>46144</v>
      </c>
      <c r="C248" t="s">
        <v>501</v>
      </c>
      <c r="D248" t="s">
        <v>32</v>
      </c>
      <c r="E248" t="s">
        <v>32</v>
      </c>
      <c r="F248" t="s">
        <v>33</v>
      </c>
      <c r="G248" t="s">
        <v>22</v>
      </c>
      <c r="H248" t="s">
        <v>45</v>
      </c>
      <c r="I248">
        <v>197.75</v>
      </c>
      <c r="J248">
        <v>10</v>
      </c>
      <c r="K248">
        <v>98.88</v>
      </c>
      <c r="L248">
        <v>2076.38</v>
      </c>
      <c r="M248">
        <v>1733.69</v>
      </c>
      <c r="N248">
        <v>342.69</v>
      </c>
      <c r="O248">
        <v>16.5</v>
      </c>
      <c r="P248" t="s">
        <v>24</v>
      </c>
      <c r="Q248">
        <v>7.9</v>
      </c>
      <c r="R248" t="str">
        <f t="shared" si="3"/>
        <v>May</v>
      </c>
    </row>
    <row r="249" spans="1:18" x14ac:dyDescent="0.3">
      <c r="A249" t="s">
        <v>502</v>
      </c>
      <c r="B249">
        <v>46144</v>
      </c>
      <c r="C249" t="s">
        <v>503</v>
      </c>
      <c r="D249" t="s">
        <v>19</v>
      </c>
      <c r="E249" t="s">
        <v>20</v>
      </c>
      <c r="F249" t="s">
        <v>33</v>
      </c>
      <c r="G249" t="s">
        <v>27</v>
      </c>
      <c r="H249" t="s">
        <v>34</v>
      </c>
      <c r="I249">
        <v>95.25</v>
      </c>
      <c r="J249">
        <v>3</v>
      </c>
      <c r="K249">
        <v>14.29</v>
      </c>
      <c r="L249">
        <v>300.04000000000002</v>
      </c>
      <c r="M249">
        <v>205.36</v>
      </c>
      <c r="N249">
        <v>94.68</v>
      </c>
      <c r="O249">
        <v>31.56</v>
      </c>
      <c r="P249" t="s">
        <v>46</v>
      </c>
      <c r="Q249">
        <v>6.2</v>
      </c>
      <c r="R249" t="str">
        <f t="shared" si="3"/>
        <v>May</v>
      </c>
    </row>
    <row r="250" spans="1:18" x14ac:dyDescent="0.3">
      <c r="A250" t="s">
        <v>504</v>
      </c>
      <c r="B250">
        <v>46144</v>
      </c>
      <c r="C250" t="s">
        <v>505</v>
      </c>
      <c r="D250" t="s">
        <v>59</v>
      </c>
      <c r="E250" t="s">
        <v>59</v>
      </c>
      <c r="F250" t="s">
        <v>21</v>
      </c>
      <c r="G250" t="s">
        <v>27</v>
      </c>
      <c r="H250" t="s">
        <v>23</v>
      </c>
      <c r="I250">
        <v>140.41999999999999</v>
      </c>
      <c r="J250">
        <v>5</v>
      </c>
      <c r="K250">
        <v>35.1</v>
      </c>
      <c r="L250">
        <v>737.2</v>
      </c>
      <c r="M250">
        <v>590.76</v>
      </c>
      <c r="N250">
        <v>146.44</v>
      </c>
      <c r="O250">
        <v>19.86</v>
      </c>
      <c r="P250" t="s">
        <v>35</v>
      </c>
      <c r="Q250">
        <v>9</v>
      </c>
      <c r="R250" t="str">
        <f t="shared" si="3"/>
        <v>May</v>
      </c>
    </row>
    <row r="251" spans="1:18" x14ac:dyDescent="0.3">
      <c r="A251" t="s">
        <v>506</v>
      </c>
      <c r="B251">
        <v>46145</v>
      </c>
      <c r="C251" t="s">
        <v>507</v>
      </c>
      <c r="D251" t="s">
        <v>41</v>
      </c>
      <c r="E251" t="s">
        <v>20</v>
      </c>
      <c r="F251" t="s">
        <v>21</v>
      </c>
      <c r="G251" t="s">
        <v>22</v>
      </c>
      <c r="H251" t="s">
        <v>23</v>
      </c>
      <c r="I251">
        <v>92.39</v>
      </c>
      <c r="J251">
        <v>1</v>
      </c>
      <c r="K251">
        <v>4.62</v>
      </c>
      <c r="L251">
        <v>97.01</v>
      </c>
      <c r="M251">
        <v>72.989999999999995</v>
      </c>
      <c r="N251">
        <v>24.02</v>
      </c>
      <c r="O251">
        <v>24.76</v>
      </c>
      <c r="P251" t="s">
        <v>35</v>
      </c>
      <c r="Q251">
        <v>5.8</v>
      </c>
      <c r="R251" t="str">
        <f t="shared" si="3"/>
        <v>May</v>
      </c>
    </row>
    <row r="252" spans="1:18" x14ac:dyDescent="0.3">
      <c r="A252" t="s">
        <v>508</v>
      </c>
      <c r="B252">
        <v>46145</v>
      </c>
      <c r="C252" t="s">
        <v>380</v>
      </c>
      <c r="D252" t="s">
        <v>59</v>
      </c>
      <c r="E252" t="s">
        <v>59</v>
      </c>
      <c r="F252" t="s">
        <v>21</v>
      </c>
      <c r="G252" t="s">
        <v>27</v>
      </c>
      <c r="H252" t="s">
        <v>23</v>
      </c>
      <c r="I252">
        <v>75.349999999999994</v>
      </c>
      <c r="J252">
        <v>4</v>
      </c>
      <c r="K252">
        <v>15.07</v>
      </c>
      <c r="L252">
        <v>316.47000000000003</v>
      </c>
      <c r="M252">
        <v>264.17</v>
      </c>
      <c r="N252">
        <v>52.3</v>
      </c>
      <c r="O252">
        <v>16.53</v>
      </c>
      <c r="P252" t="s">
        <v>24</v>
      </c>
      <c r="Q252">
        <v>7.2</v>
      </c>
      <c r="R252" t="str">
        <f t="shared" si="3"/>
        <v>May</v>
      </c>
    </row>
    <row r="253" spans="1:18" x14ac:dyDescent="0.3">
      <c r="A253" t="s">
        <v>509</v>
      </c>
      <c r="B253">
        <v>46145</v>
      </c>
      <c r="C253" t="s">
        <v>510</v>
      </c>
      <c r="D253" t="s">
        <v>51</v>
      </c>
      <c r="E253" t="s">
        <v>51</v>
      </c>
      <c r="F253" t="s">
        <v>21</v>
      </c>
      <c r="G253" t="s">
        <v>22</v>
      </c>
      <c r="H253" t="s">
        <v>42</v>
      </c>
      <c r="I253">
        <v>384.2</v>
      </c>
      <c r="J253">
        <v>8</v>
      </c>
      <c r="K253">
        <v>153.68</v>
      </c>
      <c r="L253">
        <v>3227.28</v>
      </c>
      <c r="M253">
        <v>2279.62</v>
      </c>
      <c r="N253">
        <v>947.66</v>
      </c>
      <c r="O253">
        <v>29.36</v>
      </c>
      <c r="P253" t="s">
        <v>46</v>
      </c>
      <c r="Q253">
        <v>6.5</v>
      </c>
      <c r="R253" t="str">
        <f t="shared" si="3"/>
        <v>May</v>
      </c>
    </row>
    <row r="254" spans="1:18" x14ac:dyDescent="0.3">
      <c r="A254" t="s">
        <v>511</v>
      </c>
      <c r="B254">
        <v>46145</v>
      </c>
      <c r="C254" t="s">
        <v>512</v>
      </c>
      <c r="D254" t="s">
        <v>19</v>
      </c>
      <c r="E254" t="s">
        <v>20</v>
      </c>
      <c r="F254" t="s">
        <v>33</v>
      </c>
      <c r="G254" t="s">
        <v>27</v>
      </c>
      <c r="H254" t="s">
        <v>28</v>
      </c>
      <c r="I254">
        <v>187.45</v>
      </c>
      <c r="J254">
        <v>5</v>
      </c>
      <c r="K254">
        <v>46.86</v>
      </c>
      <c r="L254">
        <v>984.11</v>
      </c>
      <c r="M254">
        <v>820.44</v>
      </c>
      <c r="N254">
        <v>163.66999999999999</v>
      </c>
      <c r="O254">
        <v>16.63</v>
      </c>
      <c r="P254" t="s">
        <v>46</v>
      </c>
      <c r="Q254">
        <v>6.3</v>
      </c>
      <c r="R254" t="str">
        <f t="shared" si="3"/>
        <v>May</v>
      </c>
    </row>
    <row r="255" spans="1:18" x14ac:dyDescent="0.3">
      <c r="A255" t="s">
        <v>513</v>
      </c>
      <c r="B255">
        <v>46147</v>
      </c>
      <c r="C255" t="s">
        <v>137</v>
      </c>
      <c r="D255" t="s">
        <v>32</v>
      </c>
      <c r="E255" t="s">
        <v>32</v>
      </c>
      <c r="F255" t="s">
        <v>33</v>
      </c>
      <c r="G255" t="s">
        <v>22</v>
      </c>
      <c r="H255" t="s">
        <v>34</v>
      </c>
      <c r="I255">
        <v>92.29</v>
      </c>
      <c r="J255">
        <v>2</v>
      </c>
      <c r="K255">
        <v>9.23</v>
      </c>
      <c r="L255">
        <v>193.81</v>
      </c>
      <c r="M255">
        <v>133.4</v>
      </c>
      <c r="N255">
        <v>60.41</v>
      </c>
      <c r="O255">
        <v>31.17</v>
      </c>
      <c r="P255" t="s">
        <v>46</v>
      </c>
      <c r="Q255">
        <v>8.1999999999999993</v>
      </c>
      <c r="R255" t="str">
        <f t="shared" si="3"/>
        <v>May</v>
      </c>
    </row>
    <row r="256" spans="1:18" x14ac:dyDescent="0.3">
      <c r="A256" t="s">
        <v>514</v>
      </c>
      <c r="B256">
        <v>46147</v>
      </c>
      <c r="C256" t="s">
        <v>374</v>
      </c>
      <c r="D256" t="s">
        <v>59</v>
      </c>
      <c r="E256" t="s">
        <v>59</v>
      </c>
      <c r="F256" t="s">
        <v>33</v>
      </c>
      <c r="G256" t="s">
        <v>22</v>
      </c>
      <c r="H256" t="s">
        <v>42</v>
      </c>
      <c r="I256">
        <v>457.39</v>
      </c>
      <c r="J256">
        <v>4</v>
      </c>
      <c r="K256">
        <v>91.48</v>
      </c>
      <c r="L256">
        <v>1921.04</v>
      </c>
      <c r="M256">
        <v>1479.55</v>
      </c>
      <c r="N256">
        <v>441.49</v>
      </c>
      <c r="O256">
        <v>22.98</v>
      </c>
      <c r="P256" t="s">
        <v>46</v>
      </c>
      <c r="Q256">
        <v>7.8</v>
      </c>
      <c r="R256" t="str">
        <f t="shared" si="3"/>
        <v>May</v>
      </c>
    </row>
    <row r="257" spans="1:18" x14ac:dyDescent="0.3">
      <c r="A257" t="s">
        <v>515</v>
      </c>
      <c r="B257">
        <v>46147</v>
      </c>
      <c r="C257" t="s">
        <v>443</v>
      </c>
      <c r="D257" t="s">
        <v>59</v>
      </c>
      <c r="E257" t="s">
        <v>59</v>
      </c>
      <c r="F257" t="s">
        <v>33</v>
      </c>
      <c r="G257" t="s">
        <v>27</v>
      </c>
      <c r="H257" t="s">
        <v>72</v>
      </c>
      <c r="I257">
        <v>236.46</v>
      </c>
      <c r="J257">
        <v>10</v>
      </c>
      <c r="K257">
        <v>118.23</v>
      </c>
      <c r="L257">
        <v>2482.83</v>
      </c>
      <c r="M257">
        <v>1975.15</v>
      </c>
      <c r="N257">
        <v>507.68</v>
      </c>
      <c r="O257">
        <v>20.45</v>
      </c>
      <c r="P257" t="s">
        <v>29</v>
      </c>
      <c r="Q257">
        <v>10</v>
      </c>
      <c r="R257" t="str">
        <f t="shared" si="3"/>
        <v>May</v>
      </c>
    </row>
    <row r="258" spans="1:18" x14ac:dyDescent="0.3">
      <c r="A258" t="s">
        <v>516</v>
      </c>
      <c r="B258">
        <v>46148</v>
      </c>
      <c r="C258" t="s">
        <v>517</v>
      </c>
      <c r="D258" t="s">
        <v>41</v>
      </c>
      <c r="E258" t="s">
        <v>20</v>
      </c>
      <c r="F258" t="s">
        <v>33</v>
      </c>
      <c r="G258" t="s">
        <v>22</v>
      </c>
      <c r="H258" t="s">
        <v>34</v>
      </c>
      <c r="I258">
        <v>68.19</v>
      </c>
      <c r="J258">
        <v>7</v>
      </c>
      <c r="K258">
        <v>23.87</v>
      </c>
      <c r="L258">
        <v>501.2</v>
      </c>
      <c r="M258">
        <v>381.79</v>
      </c>
      <c r="N258">
        <v>119.41</v>
      </c>
      <c r="O258">
        <v>23.82</v>
      </c>
      <c r="P258" t="s">
        <v>38</v>
      </c>
      <c r="Q258">
        <v>7</v>
      </c>
      <c r="R258" t="str">
        <f t="shared" si="3"/>
        <v>May</v>
      </c>
    </row>
    <row r="259" spans="1:18" x14ac:dyDescent="0.3">
      <c r="A259" t="s">
        <v>518</v>
      </c>
      <c r="B259">
        <v>46148</v>
      </c>
      <c r="C259" t="s">
        <v>519</v>
      </c>
      <c r="D259" t="s">
        <v>19</v>
      </c>
      <c r="E259" t="s">
        <v>20</v>
      </c>
      <c r="F259" t="s">
        <v>33</v>
      </c>
      <c r="G259" t="s">
        <v>22</v>
      </c>
      <c r="H259" t="s">
        <v>28</v>
      </c>
      <c r="I259">
        <v>152.61000000000001</v>
      </c>
      <c r="J259">
        <v>1</v>
      </c>
      <c r="K259">
        <v>7.63</v>
      </c>
      <c r="L259">
        <v>160.24</v>
      </c>
      <c r="M259">
        <v>111.54</v>
      </c>
      <c r="N259">
        <v>48.7</v>
      </c>
      <c r="O259">
        <v>30.39</v>
      </c>
      <c r="P259" t="s">
        <v>35</v>
      </c>
      <c r="Q259">
        <v>5.5</v>
      </c>
      <c r="R259" t="str">
        <f t="shared" ref="R259:R322" si="4">TEXT(B259,"mmmm")</f>
        <v>May</v>
      </c>
    </row>
    <row r="260" spans="1:18" x14ac:dyDescent="0.3">
      <c r="A260" t="s">
        <v>520</v>
      </c>
      <c r="B260">
        <v>46148</v>
      </c>
      <c r="C260" t="s">
        <v>129</v>
      </c>
      <c r="D260" t="s">
        <v>59</v>
      </c>
      <c r="E260" t="s">
        <v>59</v>
      </c>
      <c r="F260" t="s">
        <v>33</v>
      </c>
      <c r="G260" t="s">
        <v>27</v>
      </c>
      <c r="H260" t="s">
        <v>99</v>
      </c>
      <c r="I260">
        <v>106.98</v>
      </c>
      <c r="J260">
        <v>1</v>
      </c>
      <c r="K260">
        <v>5.35</v>
      </c>
      <c r="L260">
        <v>112.33</v>
      </c>
      <c r="M260">
        <v>87.56</v>
      </c>
      <c r="N260">
        <v>24.77</v>
      </c>
      <c r="O260">
        <v>22.05</v>
      </c>
      <c r="P260" t="s">
        <v>24</v>
      </c>
      <c r="Q260">
        <v>6.7</v>
      </c>
      <c r="R260" t="str">
        <f t="shared" si="4"/>
        <v>May</v>
      </c>
    </row>
    <row r="261" spans="1:18" x14ac:dyDescent="0.3">
      <c r="A261" t="s">
        <v>521</v>
      </c>
      <c r="B261">
        <v>46149</v>
      </c>
      <c r="C261" t="s">
        <v>522</v>
      </c>
      <c r="D261" t="s">
        <v>19</v>
      </c>
      <c r="E261" t="s">
        <v>20</v>
      </c>
      <c r="F261" t="s">
        <v>33</v>
      </c>
      <c r="G261" t="s">
        <v>22</v>
      </c>
      <c r="H261" t="s">
        <v>28</v>
      </c>
      <c r="I261">
        <v>165.83</v>
      </c>
      <c r="J261">
        <v>1</v>
      </c>
      <c r="K261">
        <v>8.2899999999999991</v>
      </c>
      <c r="L261">
        <v>174.12</v>
      </c>
      <c r="M261">
        <v>125.59</v>
      </c>
      <c r="N261">
        <v>48.53</v>
      </c>
      <c r="O261">
        <v>27.87</v>
      </c>
      <c r="P261" t="s">
        <v>46</v>
      </c>
      <c r="Q261">
        <v>10</v>
      </c>
      <c r="R261" t="str">
        <f t="shared" si="4"/>
        <v>May</v>
      </c>
    </row>
    <row r="262" spans="1:18" x14ac:dyDescent="0.3">
      <c r="A262" t="s">
        <v>523</v>
      </c>
      <c r="B262">
        <v>46149</v>
      </c>
      <c r="C262" t="s">
        <v>524</v>
      </c>
      <c r="D262" t="s">
        <v>41</v>
      </c>
      <c r="E262" t="s">
        <v>20</v>
      </c>
      <c r="F262" t="s">
        <v>33</v>
      </c>
      <c r="G262" t="s">
        <v>22</v>
      </c>
      <c r="H262" t="s">
        <v>42</v>
      </c>
      <c r="I262">
        <v>278.5</v>
      </c>
      <c r="J262">
        <v>4</v>
      </c>
      <c r="K262">
        <v>55.7</v>
      </c>
      <c r="L262">
        <v>1169.7</v>
      </c>
      <c r="M262">
        <v>914.8</v>
      </c>
      <c r="N262">
        <v>254.9</v>
      </c>
      <c r="O262">
        <v>21.79</v>
      </c>
      <c r="P262" t="s">
        <v>35</v>
      </c>
      <c r="Q262">
        <v>8.8000000000000007</v>
      </c>
      <c r="R262" t="str">
        <f t="shared" si="4"/>
        <v>May</v>
      </c>
    </row>
    <row r="263" spans="1:18" x14ac:dyDescent="0.3">
      <c r="A263" t="s">
        <v>525</v>
      </c>
      <c r="B263">
        <v>46149</v>
      </c>
      <c r="C263" t="s">
        <v>526</v>
      </c>
      <c r="D263" t="s">
        <v>41</v>
      </c>
      <c r="E263" t="s">
        <v>20</v>
      </c>
      <c r="F263" t="s">
        <v>33</v>
      </c>
      <c r="G263" t="s">
        <v>27</v>
      </c>
      <c r="H263" t="s">
        <v>42</v>
      </c>
      <c r="I263">
        <v>458.62</v>
      </c>
      <c r="J263">
        <v>3</v>
      </c>
      <c r="K263">
        <v>68.790000000000006</v>
      </c>
      <c r="L263">
        <v>1444.65</v>
      </c>
      <c r="M263">
        <v>1106.67</v>
      </c>
      <c r="N263">
        <v>337.98</v>
      </c>
      <c r="O263">
        <v>23.4</v>
      </c>
      <c r="P263" t="s">
        <v>46</v>
      </c>
      <c r="Q263">
        <v>10</v>
      </c>
      <c r="R263" t="str">
        <f t="shared" si="4"/>
        <v>May</v>
      </c>
    </row>
    <row r="264" spans="1:18" x14ac:dyDescent="0.3">
      <c r="A264" t="s">
        <v>527</v>
      </c>
      <c r="B264">
        <v>46151</v>
      </c>
      <c r="C264" t="s">
        <v>528</v>
      </c>
      <c r="D264" t="s">
        <v>41</v>
      </c>
      <c r="E264" t="s">
        <v>20</v>
      </c>
      <c r="F264" t="s">
        <v>21</v>
      </c>
      <c r="G264" t="s">
        <v>22</v>
      </c>
      <c r="H264" t="s">
        <v>42</v>
      </c>
      <c r="I264">
        <v>414.63</v>
      </c>
      <c r="J264">
        <v>5</v>
      </c>
      <c r="K264">
        <v>103.66</v>
      </c>
      <c r="L264">
        <v>2176.81</v>
      </c>
      <c r="M264">
        <v>1601.51</v>
      </c>
      <c r="N264">
        <v>575.29999999999995</v>
      </c>
      <c r="O264">
        <v>26.43</v>
      </c>
      <c r="P264" t="s">
        <v>24</v>
      </c>
      <c r="Q264">
        <v>7.8</v>
      </c>
      <c r="R264" t="str">
        <f t="shared" si="4"/>
        <v>May</v>
      </c>
    </row>
    <row r="265" spans="1:18" x14ac:dyDescent="0.3">
      <c r="A265" t="s">
        <v>529</v>
      </c>
      <c r="B265">
        <v>46153</v>
      </c>
      <c r="C265" t="s">
        <v>530</v>
      </c>
      <c r="D265" t="s">
        <v>41</v>
      </c>
      <c r="E265" t="s">
        <v>20</v>
      </c>
      <c r="F265" t="s">
        <v>33</v>
      </c>
      <c r="G265" t="s">
        <v>22</v>
      </c>
      <c r="H265" t="s">
        <v>99</v>
      </c>
      <c r="I265">
        <v>98.65</v>
      </c>
      <c r="J265">
        <v>3</v>
      </c>
      <c r="K265">
        <v>14.8</v>
      </c>
      <c r="L265">
        <v>310.75</v>
      </c>
      <c r="M265">
        <v>209.45</v>
      </c>
      <c r="N265">
        <v>101.3</v>
      </c>
      <c r="O265">
        <v>32.6</v>
      </c>
      <c r="P265" t="s">
        <v>24</v>
      </c>
      <c r="Q265">
        <v>7.4</v>
      </c>
      <c r="R265" t="str">
        <f t="shared" si="4"/>
        <v>May</v>
      </c>
    </row>
    <row r="266" spans="1:18" x14ac:dyDescent="0.3">
      <c r="A266" t="s">
        <v>531</v>
      </c>
      <c r="B266">
        <v>46154</v>
      </c>
      <c r="C266" t="s">
        <v>532</v>
      </c>
      <c r="D266" t="s">
        <v>32</v>
      </c>
      <c r="E266" t="s">
        <v>32</v>
      </c>
      <c r="F266" t="s">
        <v>21</v>
      </c>
      <c r="G266" t="s">
        <v>22</v>
      </c>
      <c r="H266" t="s">
        <v>42</v>
      </c>
      <c r="I266">
        <v>379.32</v>
      </c>
      <c r="J266">
        <v>4</v>
      </c>
      <c r="K266">
        <v>75.86</v>
      </c>
      <c r="L266">
        <v>1593.14</v>
      </c>
      <c r="M266">
        <v>1280.51</v>
      </c>
      <c r="N266">
        <v>312.63</v>
      </c>
      <c r="O266">
        <v>19.62</v>
      </c>
      <c r="P266" t="s">
        <v>46</v>
      </c>
      <c r="Q266">
        <v>8.6999999999999993</v>
      </c>
      <c r="R266" t="str">
        <f t="shared" si="4"/>
        <v>May</v>
      </c>
    </row>
    <row r="267" spans="1:18" x14ac:dyDescent="0.3">
      <c r="A267" t="s">
        <v>533</v>
      </c>
      <c r="B267">
        <v>46154</v>
      </c>
      <c r="C267" t="s">
        <v>534</v>
      </c>
      <c r="D267" t="s">
        <v>19</v>
      </c>
      <c r="E267" t="s">
        <v>20</v>
      </c>
      <c r="F267" t="s">
        <v>33</v>
      </c>
      <c r="G267" t="s">
        <v>27</v>
      </c>
      <c r="H267" t="s">
        <v>45</v>
      </c>
      <c r="I267">
        <v>171.27</v>
      </c>
      <c r="J267">
        <v>9</v>
      </c>
      <c r="K267">
        <v>77.069999999999993</v>
      </c>
      <c r="L267">
        <v>1618.5</v>
      </c>
      <c r="M267">
        <v>1335.53</v>
      </c>
      <c r="N267">
        <v>282.97000000000003</v>
      </c>
      <c r="O267">
        <v>17.48</v>
      </c>
      <c r="P267" t="s">
        <v>35</v>
      </c>
      <c r="Q267">
        <v>6.4</v>
      </c>
      <c r="R267" t="str">
        <f t="shared" si="4"/>
        <v>May</v>
      </c>
    </row>
    <row r="268" spans="1:18" x14ac:dyDescent="0.3">
      <c r="A268" t="s">
        <v>535</v>
      </c>
      <c r="B268">
        <v>46154</v>
      </c>
      <c r="C268" t="s">
        <v>310</v>
      </c>
      <c r="D268" t="s">
        <v>59</v>
      </c>
      <c r="E268" t="s">
        <v>59</v>
      </c>
      <c r="F268" t="s">
        <v>21</v>
      </c>
      <c r="G268" t="s">
        <v>27</v>
      </c>
      <c r="H268" t="s">
        <v>45</v>
      </c>
      <c r="I268">
        <v>301.81</v>
      </c>
      <c r="J268">
        <v>1</v>
      </c>
      <c r="K268">
        <v>15.09</v>
      </c>
      <c r="L268">
        <v>316.89999999999998</v>
      </c>
      <c r="M268">
        <v>234.41</v>
      </c>
      <c r="N268">
        <v>82.49</v>
      </c>
      <c r="O268">
        <v>26.03</v>
      </c>
      <c r="P268" t="s">
        <v>29</v>
      </c>
      <c r="Q268">
        <v>9.6</v>
      </c>
      <c r="R268" t="str">
        <f t="shared" si="4"/>
        <v>May</v>
      </c>
    </row>
    <row r="269" spans="1:18" x14ac:dyDescent="0.3">
      <c r="A269" t="s">
        <v>536</v>
      </c>
      <c r="B269">
        <v>46154</v>
      </c>
      <c r="C269" t="s">
        <v>537</v>
      </c>
      <c r="D269" t="s">
        <v>41</v>
      </c>
      <c r="E269" t="s">
        <v>20</v>
      </c>
      <c r="F269" t="s">
        <v>21</v>
      </c>
      <c r="G269" t="s">
        <v>22</v>
      </c>
      <c r="H269" t="s">
        <v>23</v>
      </c>
      <c r="I269">
        <v>122.39</v>
      </c>
      <c r="J269">
        <v>8</v>
      </c>
      <c r="K269">
        <v>48.96</v>
      </c>
      <c r="L269">
        <v>1028.08</v>
      </c>
      <c r="M269">
        <v>852.55</v>
      </c>
      <c r="N269">
        <v>175.53</v>
      </c>
      <c r="O269">
        <v>17.07</v>
      </c>
      <c r="P269" t="s">
        <v>46</v>
      </c>
      <c r="Q269">
        <v>7.1</v>
      </c>
      <c r="R269" t="str">
        <f t="shared" si="4"/>
        <v>May</v>
      </c>
    </row>
    <row r="270" spans="1:18" x14ac:dyDescent="0.3">
      <c r="A270" t="s">
        <v>538</v>
      </c>
      <c r="B270">
        <v>46156</v>
      </c>
      <c r="C270" t="s">
        <v>539</v>
      </c>
      <c r="D270" t="s">
        <v>51</v>
      </c>
      <c r="E270" t="s">
        <v>51</v>
      </c>
      <c r="F270" t="s">
        <v>33</v>
      </c>
      <c r="G270" t="s">
        <v>22</v>
      </c>
      <c r="H270" t="s">
        <v>28</v>
      </c>
      <c r="I270">
        <v>175.71</v>
      </c>
      <c r="J270">
        <v>10</v>
      </c>
      <c r="K270">
        <v>87.86</v>
      </c>
      <c r="L270">
        <v>1844.96</v>
      </c>
      <c r="M270">
        <v>1481.25</v>
      </c>
      <c r="N270">
        <v>363.71</v>
      </c>
      <c r="O270">
        <v>19.71</v>
      </c>
      <c r="P270" t="s">
        <v>46</v>
      </c>
      <c r="Q270">
        <v>6.6</v>
      </c>
      <c r="R270" t="str">
        <f t="shared" si="4"/>
        <v>May</v>
      </c>
    </row>
    <row r="271" spans="1:18" x14ac:dyDescent="0.3">
      <c r="A271" t="s">
        <v>540</v>
      </c>
      <c r="B271">
        <v>46156</v>
      </c>
      <c r="C271" t="s">
        <v>541</v>
      </c>
      <c r="D271" t="s">
        <v>59</v>
      </c>
      <c r="E271" t="s">
        <v>59</v>
      </c>
      <c r="F271" t="s">
        <v>33</v>
      </c>
      <c r="G271" t="s">
        <v>22</v>
      </c>
      <c r="H271" t="s">
        <v>72</v>
      </c>
      <c r="I271">
        <v>165.58</v>
      </c>
      <c r="J271">
        <v>7</v>
      </c>
      <c r="K271">
        <v>57.95</v>
      </c>
      <c r="L271">
        <v>1217.01</v>
      </c>
      <c r="M271">
        <v>896.49</v>
      </c>
      <c r="N271">
        <v>320.52</v>
      </c>
      <c r="O271">
        <v>26.34</v>
      </c>
      <c r="P271" t="s">
        <v>29</v>
      </c>
      <c r="Q271">
        <v>8.8000000000000007</v>
      </c>
      <c r="R271" t="str">
        <f t="shared" si="4"/>
        <v>May</v>
      </c>
    </row>
    <row r="272" spans="1:18" x14ac:dyDescent="0.3">
      <c r="A272" t="s">
        <v>542</v>
      </c>
      <c r="B272">
        <v>46156</v>
      </c>
      <c r="C272" t="s">
        <v>105</v>
      </c>
      <c r="D272" t="s">
        <v>41</v>
      </c>
      <c r="E272" t="s">
        <v>20</v>
      </c>
      <c r="F272" t="s">
        <v>33</v>
      </c>
      <c r="G272" t="s">
        <v>22</v>
      </c>
      <c r="H272" t="s">
        <v>45</v>
      </c>
      <c r="I272">
        <v>269.93</v>
      </c>
      <c r="J272">
        <v>1</v>
      </c>
      <c r="K272">
        <v>13.5</v>
      </c>
      <c r="L272">
        <v>283.43</v>
      </c>
      <c r="M272">
        <v>202.48</v>
      </c>
      <c r="N272">
        <v>80.95</v>
      </c>
      <c r="O272">
        <v>28.56</v>
      </c>
      <c r="P272" t="s">
        <v>38</v>
      </c>
      <c r="Q272">
        <v>9.1999999999999993</v>
      </c>
      <c r="R272" t="str">
        <f t="shared" si="4"/>
        <v>May</v>
      </c>
    </row>
    <row r="273" spans="1:18" x14ac:dyDescent="0.3">
      <c r="A273" t="s">
        <v>543</v>
      </c>
      <c r="B273">
        <v>46156</v>
      </c>
      <c r="C273" t="s">
        <v>367</v>
      </c>
      <c r="D273" t="s">
        <v>19</v>
      </c>
      <c r="E273" t="s">
        <v>20</v>
      </c>
      <c r="F273" t="s">
        <v>21</v>
      </c>
      <c r="G273" t="s">
        <v>27</v>
      </c>
      <c r="H273" t="s">
        <v>23</v>
      </c>
      <c r="I273">
        <v>99.45</v>
      </c>
      <c r="J273">
        <v>4</v>
      </c>
      <c r="K273">
        <v>19.89</v>
      </c>
      <c r="L273">
        <v>417.69</v>
      </c>
      <c r="M273">
        <v>327.92</v>
      </c>
      <c r="N273">
        <v>89.77</v>
      </c>
      <c r="O273">
        <v>21.49</v>
      </c>
      <c r="P273" t="s">
        <v>29</v>
      </c>
      <c r="Q273">
        <v>8.1</v>
      </c>
      <c r="R273" t="str">
        <f t="shared" si="4"/>
        <v>May</v>
      </c>
    </row>
    <row r="274" spans="1:18" x14ac:dyDescent="0.3">
      <c r="A274" t="s">
        <v>544</v>
      </c>
      <c r="B274">
        <v>46156</v>
      </c>
      <c r="C274" t="s">
        <v>545</v>
      </c>
      <c r="D274" t="s">
        <v>32</v>
      </c>
      <c r="E274" t="s">
        <v>32</v>
      </c>
      <c r="F274" t="s">
        <v>21</v>
      </c>
      <c r="G274" t="s">
        <v>27</v>
      </c>
      <c r="H274" t="s">
        <v>28</v>
      </c>
      <c r="I274">
        <v>204.54</v>
      </c>
      <c r="J274">
        <v>3</v>
      </c>
      <c r="K274">
        <v>30.68</v>
      </c>
      <c r="L274">
        <v>644.29999999999995</v>
      </c>
      <c r="M274">
        <v>442.17</v>
      </c>
      <c r="N274">
        <v>202.13</v>
      </c>
      <c r="O274">
        <v>31.37</v>
      </c>
      <c r="P274" t="s">
        <v>46</v>
      </c>
      <c r="Q274">
        <v>9.1999999999999993</v>
      </c>
      <c r="R274" t="str">
        <f t="shared" si="4"/>
        <v>May</v>
      </c>
    </row>
    <row r="275" spans="1:18" x14ac:dyDescent="0.3">
      <c r="A275" t="s">
        <v>546</v>
      </c>
      <c r="B275">
        <v>46156</v>
      </c>
      <c r="C275" t="s">
        <v>547</v>
      </c>
      <c r="D275" t="s">
        <v>41</v>
      </c>
      <c r="E275" t="s">
        <v>20</v>
      </c>
      <c r="F275" t="s">
        <v>33</v>
      </c>
      <c r="G275" t="s">
        <v>22</v>
      </c>
      <c r="H275" t="s">
        <v>42</v>
      </c>
      <c r="I275">
        <v>381.52</v>
      </c>
      <c r="J275">
        <v>1</v>
      </c>
      <c r="K275">
        <v>19.079999999999998</v>
      </c>
      <c r="L275">
        <v>400.6</v>
      </c>
      <c r="M275">
        <v>287.91000000000003</v>
      </c>
      <c r="N275">
        <v>112.69</v>
      </c>
      <c r="O275">
        <v>28.13</v>
      </c>
      <c r="P275" t="s">
        <v>38</v>
      </c>
      <c r="Q275">
        <v>6.2</v>
      </c>
      <c r="R275" t="str">
        <f t="shared" si="4"/>
        <v>May</v>
      </c>
    </row>
    <row r="276" spans="1:18" x14ac:dyDescent="0.3">
      <c r="A276" t="s">
        <v>548</v>
      </c>
      <c r="B276">
        <v>46156</v>
      </c>
      <c r="C276" t="s">
        <v>549</v>
      </c>
      <c r="D276" t="s">
        <v>51</v>
      </c>
      <c r="E276" t="s">
        <v>51</v>
      </c>
      <c r="F276" t="s">
        <v>33</v>
      </c>
      <c r="G276" t="s">
        <v>22</v>
      </c>
      <c r="H276" t="s">
        <v>42</v>
      </c>
      <c r="I276">
        <v>242.97</v>
      </c>
      <c r="J276">
        <v>4</v>
      </c>
      <c r="K276">
        <v>48.59</v>
      </c>
      <c r="L276">
        <v>1020.47</v>
      </c>
      <c r="M276">
        <v>710.8</v>
      </c>
      <c r="N276">
        <v>309.67</v>
      </c>
      <c r="O276">
        <v>30.35</v>
      </c>
      <c r="P276" t="s">
        <v>29</v>
      </c>
      <c r="Q276">
        <v>6.6</v>
      </c>
      <c r="R276" t="str">
        <f t="shared" si="4"/>
        <v>May</v>
      </c>
    </row>
    <row r="277" spans="1:18" x14ac:dyDescent="0.3">
      <c r="A277" t="s">
        <v>550</v>
      </c>
      <c r="B277">
        <v>46156</v>
      </c>
      <c r="C277" t="s">
        <v>551</v>
      </c>
      <c r="D277" t="s">
        <v>59</v>
      </c>
      <c r="E277" t="s">
        <v>59</v>
      </c>
      <c r="F277" t="s">
        <v>21</v>
      </c>
      <c r="G277" t="s">
        <v>27</v>
      </c>
      <c r="H277" t="s">
        <v>72</v>
      </c>
      <c r="I277">
        <v>123.74</v>
      </c>
      <c r="J277">
        <v>7</v>
      </c>
      <c r="K277">
        <v>43.31</v>
      </c>
      <c r="L277">
        <v>909.49</v>
      </c>
      <c r="M277">
        <v>693.44</v>
      </c>
      <c r="N277">
        <v>216.05</v>
      </c>
      <c r="O277">
        <v>23.76</v>
      </c>
      <c r="P277" t="s">
        <v>46</v>
      </c>
      <c r="Q277">
        <v>7.8</v>
      </c>
      <c r="R277" t="str">
        <f t="shared" si="4"/>
        <v>May</v>
      </c>
    </row>
    <row r="278" spans="1:18" x14ac:dyDescent="0.3">
      <c r="A278" t="s">
        <v>552</v>
      </c>
      <c r="B278">
        <v>46157</v>
      </c>
      <c r="C278" t="s">
        <v>505</v>
      </c>
      <c r="D278" t="s">
        <v>41</v>
      </c>
      <c r="E278" t="s">
        <v>20</v>
      </c>
      <c r="F278" t="s">
        <v>21</v>
      </c>
      <c r="G278" t="s">
        <v>27</v>
      </c>
      <c r="H278" t="s">
        <v>45</v>
      </c>
      <c r="I278">
        <v>289.93</v>
      </c>
      <c r="J278">
        <v>7</v>
      </c>
      <c r="K278">
        <v>101.48</v>
      </c>
      <c r="L278">
        <v>2130.9899999999998</v>
      </c>
      <c r="M278">
        <v>1739.01</v>
      </c>
      <c r="N278">
        <v>391.98</v>
      </c>
      <c r="O278">
        <v>18.39</v>
      </c>
      <c r="P278" t="s">
        <v>38</v>
      </c>
      <c r="Q278">
        <v>9.3000000000000007</v>
      </c>
      <c r="R278" t="str">
        <f t="shared" si="4"/>
        <v>May</v>
      </c>
    </row>
    <row r="279" spans="1:18" x14ac:dyDescent="0.3">
      <c r="A279" t="s">
        <v>553</v>
      </c>
      <c r="B279">
        <v>46157</v>
      </c>
      <c r="C279" t="s">
        <v>554</v>
      </c>
      <c r="D279" t="s">
        <v>59</v>
      </c>
      <c r="E279" t="s">
        <v>59</v>
      </c>
      <c r="F279" t="s">
        <v>33</v>
      </c>
      <c r="G279" t="s">
        <v>27</v>
      </c>
      <c r="H279" t="s">
        <v>28</v>
      </c>
      <c r="I279">
        <v>113.62</v>
      </c>
      <c r="J279">
        <v>7</v>
      </c>
      <c r="K279">
        <v>39.770000000000003</v>
      </c>
      <c r="L279">
        <v>835.11</v>
      </c>
      <c r="M279">
        <v>567.45000000000005</v>
      </c>
      <c r="N279">
        <v>267.66000000000003</v>
      </c>
      <c r="O279">
        <v>32.049999999999997</v>
      </c>
      <c r="P279" t="s">
        <v>35</v>
      </c>
      <c r="Q279">
        <v>7.2</v>
      </c>
      <c r="R279" t="str">
        <f t="shared" si="4"/>
        <v>May</v>
      </c>
    </row>
    <row r="280" spans="1:18" x14ac:dyDescent="0.3">
      <c r="A280" t="s">
        <v>555</v>
      </c>
      <c r="B280">
        <v>46158</v>
      </c>
      <c r="C280" t="s">
        <v>346</v>
      </c>
      <c r="D280" t="s">
        <v>51</v>
      </c>
      <c r="E280" t="s">
        <v>51</v>
      </c>
      <c r="F280" t="s">
        <v>33</v>
      </c>
      <c r="G280" t="s">
        <v>27</v>
      </c>
      <c r="H280" t="s">
        <v>42</v>
      </c>
      <c r="I280">
        <v>452.72</v>
      </c>
      <c r="J280">
        <v>10</v>
      </c>
      <c r="K280">
        <v>226.36</v>
      </c>
      <c r="L280">
        <v>4753.5600000000004</v>
      </c>
      <c r="M280">
        <v>3684.05</v>
      </c>
      <c r="N280">
        <v>1069.51</v>
      </c>
      <c r="O280">
        <v>22.5</v>
      </c>
      <c r="P280" t="s">
        <v>35</v>
      </c>
      <c r="Q280">
        <v>9.3000000000000007</v>
      </c>
      <c r="R280" t="str">
        <f t="shared" si="4"/>
        <v>May</v>
      </c>
    </row>
    <row r="281" spans="1:18" x14ac:dyDescent="0.3">
      <c r="A281" t="s">
        <v>556</v>
      </c>
      <c r="B281">
        <v>46158</v>
      </c>
      <c r="C281" t="s">
        <v>557</v>
      </c>
      <c r="D281" t="s">
        <v>41</v>
      </c>
      <c r="E281" t="s">
        <v>20</v>
      </c>
      <c r="F281" t="s">
        <v>33</v>
      </c>
      <c r="G281" t="s">
        <v>22</v>
      </c>
      <c r="H281" t="s">
        <v>45</v>
      </c>
      <c r="I281">
        <v>193.69</v>
      </c>
      <c r="J281">
        <v>7</v>
      </c>
      <c r="K281">
        <v>67.790000000000006</v>
      </c>
      <c r="L281">
        <v>1423.62</v>
      </c>
      <c r="M281">
        <v>1134.19</v>
      </c>
      <c r="N281">
        <v>289.43</v>
      </c>
      <c r="O281">
        <v>20.329999999999998</v>
      </c>
      <c r="P281" t="s">
        <v>38</v>
      </c>
      <c r="Q281">
        <v>6.7</v>
      </c>
      <c r="R281" t="str">
        <f t="shared" si="4"/>
        <v>May</v>
      </c>
    </row>
    <row r="282" spans="1:18" x14ac:dyDescent="0.3">
      <c r="A282" t="s">
        <v>558</v>
      </c>
      <c r="B282">
        <v>46158</v>
      </c>
      <c r="C282" t="s">
        <v>559</v>
      </c>
      <c r="D282" t="s">
        <v>59</v>
      </c>
      <c r="E282" t="s">
        <v>59</v>
      </c>
      <c r="F282" t="s">
        <v>21</v>
      </c>
      <c r="G282" t="s">
        <v>22</v>
      </c>
      <c r="H282" t="s">
        <v>42</v>
      </c>
      <c r="I282">
        <v>434.17</v>
      </c>
      <c r="J282">
        <v>7</v>
      </c>
      <c r="K282">
        <v>151.96</v>
      </c>
      <c r="L282">
        <v>3191.15</v>
      </c>
      <c r="M282">
        <v>2579.66</v>
      </c>
      <c r="N282">
        <v>611.49</v>
      </c>
      <c r="O282">
        <v>19.16</v>
      </c>
      <c r="P282" t="s">
        <v>46</v>
      </c>
      <c r="Q282">
        <v>8.9</v>
      </c>
      <c r="R282" t="str">
        <f t="shared" si="4"/>
        <v>May</v>
      </c>
    </row>
    <row r="283" spans="1:18" x14ac:dyDescent="0.3">
      <c r="A283" t="s">
        <v>560</v>
      </c>
      <c r="B283">
        <v>46159</v>
      </c>
      <c r="C283" t="s">
        <v>561</v>
      </c>
      <c r="D283" t="s">
        <v>51</v>
      </c>
      <c r="E283" t="s">
        <v>51</v>
      </c>
      <c r="F283" t="s">
        <v>21</v>
      </c>
      <c r="G283" t="s">
        <v>22</v>
      </c>
      <c r="H283" t="s">
        <v>52</v>
      </c>
      <c r="I283">
        <v>59.33</v>
      </c>
      <c r="J283">
        <v>2</v>
      </c>
      <c r="K283">
        <v>5.93</v>
      </c>
      <c r="L283">
        <v>124.59</v>
      </c>
      <c r="M283">
        <v>98.71</v>
      </c>
      <c r="N283">
        <v>25.88</v>
      </c>
      <c r="O283">
        <v>20.77</v>
      </c>
      <c r="P283" t="s">
        <v>38</v>
      </c>
      <c r="Q283">
        <v>7.1</v>
      </c>
      <c r="R283" t="str">
        <f t="shared" si="4"/>
        <v>May</v>
      </c>
    </row>
    <row r="284" spans="1:18" x14ac:dyDescent="0.3">
      <c r="A284" t="s">
        <v>562</v>
      </c>
      <c r="B284">
        <v>46159</v>
      </c>
      <c r="C284" t="s">
        <v>563</v>
      </c>
      <c r="D284" t="s">
        <v>51</v>
      </c>
      <c r="E284" t="s">
        <v>51</v>
      </c>
      <c r="F284" t="s">
        <v>21</v>
      </c>
      <c r="G284" t="s">
        <v>27</v>
      </c>
      <c r="H284" t="s">
        <v>28</v>
      </c>
      <c r="I284">
        <v>190.24</v>
      </c>
      <c r="J284">
        <v>4</v>
      </c>
      <c r="K284">
        <v>38.049999999999997</v>
      </c>
      <c r="L284">
        <v>799.01</v>
      </c>
      <c r="M284">
        <v>591.42999999999995</v>
      </c>
      <c r="N284">
        <v>207.58</v>
      </c>
      <c r="O284">
        <v>25.98</v>
      </c>
      <c r="P284" t="s">
        <v>46</v>
      </c>
      <c r="Q284">
        <v>7</v>
      </c>
      <c r="R284" t="str">
        <f t="shared" si="4"/>
        <v>May</v>
      </c>
    </row>
    <row r="285" spans="1:18" x14ac:dyDescent="0.3">
      <c r="A285" t="s">
        <v>564</v>
      </c>
      <c r="B285">
        <v>46159</v>
      </c>
      <c r="C285" t="s">
        <v>565</v>
      </c>
      <c r="D285" t="s">
        <v>59</v>
      </c>
      <c r="E285" t="s">
        <v>59</v>
      </c>
      <c r="F285" t="s">
        <v>33</v>
      </c>
      <c r="G285" t="s">
        <v>22</v>
      </c>
      <c r="H285" t="s">
        <v>34</v>
      </c>
      <c r="I285">
        <v>62.19</v>
      </c>
      <c r="J285">
        <v>8</v>
      </c>
      <c r="K285">
        <v>24.88</v>
      </c>
      <c r="L285">
        <v>522.4</v>
      </c>
      <c r="M285">
        <v>362.2</v>
      </c>
      <c r="N285">
        <v>160.19999999999999</v>
      </c>
      <c r="O285">
        <v>30.67</v>
      </c>
      <c r="P285" t="s">
        <v>38</v>
      </c>
      <c r="Q285">
        <v>8.6999999999999993</v>
      </c>
      <c r="R285" t="str">
        <f t="shared" si="4"/>
        <v>May</v>
      </c>
    </row>
    <row r="286" spans="1:18" x14ac:dyDescent="0.3">
      <c r="A286" t="s">
        <v>566</v>
      </c>
      <c r="B286">
        <v>46159</v>
      </c>
      <c r="C286" t="s">
        <v>360</v>
      </c>
      <c r="D286" t="s">
        <v>41</v>
      </c>
      <c r="E286" t="s">
        <v>20</v>
      </c>
      <c r="F286" t="s">
        <v>21</v>
      </c>
      <c r="G286" t="s">
        <v>27</v>
      </c>
      <c r="H286" t="s">
        <v>42</v>
      </c>
      <c r="I286">
        <v>367.34</v>
      </c>
      <c r="J286">
        <v>1</v>
      </c>
      <c r="K286">
        <v>18.37</v>
      </c>
      <c r="L286">
        <v>385.71</v>
      </c>
      <c r="M286">
        <v>276.57</v>
      </c>
      <c r="N286">
        <v>109.14</v>
      </c>
      <c r="O286">
        <v>28.3</v>
      </c>
      <c r="P286" t="s">
        <v>38</v>
      </c>
      <c r="Q286">
        <v>6.4</v>
      </c>
      <c r="R286" t="str">
        <f t="shared" si="4"/>
        <v>May</v>
      </c>
    </row>
    <row r="287" spans="1:18" x14ac:dyDescent="0.3">
      <c r="A287" t="s">
        <v>567</v>
      </c>
      <c r="B287">
        <v>46162</v>
      </c>
      <c r="C287" t="s">
        <v>568</v>
      </c>
      <c r="D287" t="s">
        <v>32</v>
      </c>
      <c r="E287" t="s">
        <v>32</v>
      </c>
      <c r="F287" t="s">
        <v>21</v>
      </c>
      <c r="G287" t="s">
        <v>27</v>
      </c>
      <c r="H287" t="s">
        <v>45</v>
      </c>
      <c r="I287">
        <v>163.38</v>
      </c>
      <c r="J287">
        <v>3</v>
      </c>
      <c r="K287">
        <v>24.51</v>
      </c>
      <c r="L287">
        <v>514.65</v>
      </c>
      <c r="M287">
        <v>347.1</v>
      </c>
      <c r="N287">
        <v>167.55</v>
      </c>
      <c r="O287">
        <v>32.56</v>
      </c>
      <c r="P287" t="s">
        <v>29</v>
      </c>
      <c r="Q287">
        <v>8.3000000000000007</v>
      </c>
      <c r="R287" t="str">
        <f t="shared" si="4"/>
        <v>May</v>
      </c>
    </row>
    <row r="288" spans="1:18" x14ac:dyDescent="0.3">
      <c r="A288" t="s">
        <v>569</v>
      </c>
      <c r="B288">
        <v>46163</v>
      </c>
      <c r="C288" t="s">
        <v>570</v>
      </c>
      <c r="D288" t="s">
        <v>32</v>
      </c>
      <c r="E288" t="s">
        <v>32</v>
      </c>
      <c r="F288" t="s">
        <v>33</v>
      </c>
      <c r="G288" t="s">
        <v>22</v>
      </c>
      <c r="H288" t="s">
        <v>23</v>
      </c>
      <c r="I288">
        <v>157.83000000000001</v>
      </c>
      <c r="J288">
        <v>1</v>
      </c>
      <c r="K288">
        <v>7.89</v>
      </c>
      <c r="L288">
        <v>165.72</v>
      </c>
      <c r="M288">
        <v>123.59</v>
      </c>
      <c r="N288">
        <v>42.13</v>
      </c>
      <c r="O288">
        <v>25.42</v>
      </c>
      <c r="P288" t="s">
        <v>46</v>
      </c>
      <c r="Q288">
        <v>5.9</v>
      </c>
      <c r="R288" t="str">
        <f t="shared" si="4"/>
        <v>May</v>
      </c>
    </row>
    <row r="289" spans="1:18" x14ac:dyDescent="0.3">
      <c r="A289" t="s">
        <v>571</v>
      </c>
      <c r="B289">
        <v>46164</v>
      </c>
      <c r="C289" t="s">
        <v>572</v>
      </c>
      <c r="D289" t="s">
        <v>59</v>
      </c>
      <c r="E289" t="s">
        <v>59</v>
      </c>
      <c r="F289" t="s">
        <v>21</v>
      </c>
      <c r="G289" t="s">
        <v>22</v>
      </c>
      <c r="H289" t="s">
        <v>28</v>
      </c>
      <c r="I289">
        <v>131.24</v>
      </c>
      <c r="J289">
        <v>6</v>
      </c>
      <c r="K289">
        <v>39.369999999999997</v>
      </c>
      <c r="L289">
        <v>826.81</v>
      </c>
      <c r="M289">
        <v>617.12</v>
      </c>
      <c r="N289">
        <v>209.69</v>
      </c>
      <c r="O289">
        <v>25.36</v>
      </c>
      <c r="P289" t="s">
        <v>46</v>
      </c>
      <c r="Q289">
        <v>9.3000000000000007</v>
      </c>
      <c r="R289" t="str">
        <f t="shared" si="4"/>
        <v>May</v>
      </c>
    </row>
    <row r="290" spans="1:18" x14ac:dyDescent="0.3">
      <c r="A290" t="s">
        <v>573</v>
      </c>
      <c r="B290">
        <v>46164</v>
      </c>
      <c r="C290" t="s">
        <v>436</v>
      </c>
      <c r="D290" t="s">
        <v>32</v>
      </c>
      <c r="E290" t="s">
        <v>32</v>
      </c>
      <c r="F290" t="s">
        <v>21</v>
      </c>
      <c r="G290" t="s">
        <v>27</v>
      </c>
      <c r="H290" t="s">
        <v>28</v>
      </c>
      <c r="I290">
        <v>130.86000000000001</v>
      </c>
      <c r="J290">
        <v>1</v>
      </c>
      <c r="K290">
        <v>6.54</v>
      </c>
      <c r="L290">
        <v>137.4</v>
      </c>
      <c r="M290">
        <v>114.79</v>
      </c>
      <c r="N290">
        <v>22.61</v>
      </c>
      <c r="O290">
        <v>16.46</v>
      </c>
      <c r="P290" t="s">
        <v>46</v>
      </c>
      <c r="Q290">
        <v>7.1</v>
      </c>
      <c r="R290" t="str">
        <f t="shared" si="4"/>
        <v>May</v>
      </c>
    </row>
    <row r="291" spans="1:18" x14ac:dyDescent="0.3">
      <c r="A291" t="s">
        <v>574</v>
      </c>
      <c r="B291">
        <v>46165</v>
      </c>
      <c r="C291" t="s">
        <v>575</v>
      </c>
      <c r="D291" t="s">
        <v>59</v>
      </c>
      <c r="E291" t="s">
        <v>59</v>
      </c>
      <c r="F291" t="s">
        <v>21</v>
      </c>
      <c r="G291" t="s">
        <v>22</v>
      </c>
      <c r="H291" t="s">
        <v>72</v>
      </c>
      <c r="I291">
        <v>214.37</v>
      </c>
      <c r="J291">
        <v>10</v>
      </c>
      <c r="K291">
        <v>107.18</v>
      </c>
      <c r="L291">
        <v>2250.88</v>
      </c>
      <c r="M291">
        <v>1857.33</v>
      </c>
      <c r="N291">
        <v>393.55</v>
      </c>
      <c r="O291">
        <v>17.48</v>
      </c>
      <c r="P291" t="s">
        <v>46</v>
      </c>
      <c r="Q291">
        <v>6.4</v>
      </c>
      <c r="R291" t="str">
        <f t="shared" si="4"/>
        <v>May</v>
      </c>
    </row>
    <row r="292" spans="1:18" x14ac:dyDescent="0.3">
      <c r="A292" t="s">
        <v>576</v>
      </c>
      <c r="B292">
        <v>46166</v>
      </c>
      <c r="C292" t="s">
        <v>461</v>
      </c>
      <c r="D292" t="s">
        <v>19</v>
      </c>
      <c r="E292" t="s">
        <v>20</v>
      </c>
      <c r="F292" t="s">
        <v>33</v>
      </c>
      <c r="G292" t="s">
        <v>22</v>
      </c>
      <c r="H292" t="s">
        <v>99</v>
      </c>
      <c r="I292">
        <v>131.41</v>
      </c>
      <c r="J292">
        <v>1</v>
      </c>
      <c r="K292">
        <v>6.57</v>
      </c>
      <c r="L292">
        <v>137.97999999999999</v>
      </c>
      <c r="M292">
        <v>108.48</v>
      </c>
      <c r="N292">
        <v>29.5</v>
      </c>
      <c r="O292">
        <v>21.38</v>
      </c>
      <c r="P292" t="s">
        <v>29</v>
      </c>
      <c r="Q292">
        <v>5.6</v>
      </c>
      <c r="R292" t="str">
        <f t="shared" si="4"/>
        <v>May</v>
      </c>
    </row>
    <row r="293" spans="1:18" x14ac:dyDescent="0.3">
      <c r="A293" t="s">
        <v>577</v>
      </c>
      <c r="B293">
        <v>46166</v>
      </c>
      <c r="C293" t="s">
        <v>578</v>
      </c>
      <c r="D293" t="s">
        <v>59</v>
      </c>
      <c r="E293" t="s">
        <v>59</v>
      </c>
      <c r="F293" t="s">
        <v>33</v>
      </c>
      <c r="G293" t="s">
        <v>22</v>
      </c>
      <c r="H293" t="s">
        <v>28</v>
      </c>
      <c r="I293">
        <v>154.46</v>
      </c>
      <c r="J293">
        <v>10</v>
      </c>
      <c r="K293">
        <v>77.23</v>
      </c>
      <c r="L293">
        <v>1621.83</v>
      </c>
      <c r="M293">
        <v>1275.43</v>
      </c>
      <c r="N293">
        <v>346.4</v>
      </c>
      <c r="O293">
        <v>21.36</v>
      </c>
      <c r="P293" t="s">
        <v>35</v>
      </c>
      <c r="Q293">
        <v>6.3</v>
      </c>
      <c r="R293" t="str">
        <f t="shared" si="4"/>
        <v>May</v>
      </c>
    </row>
    <row r="294" spans="1:18" x14ac:dyDescent="0.3">
      <c r="A294" t="s">
        <v>579</v>
      </c>
      <c r="B294">
        <v>46167</v>
      </c>
      <c r="C294" t="s">
        <v>580</v>
      </c>
      <c r="D294" t="s">
        <v>59</v>
      </c>
      <c r="E294" t="s">
        <v>59</v>
      </c>
      <c r="F294" t="s">
        <v>33</v>
      </c>
      <c r="G294" t="s">
        <v>22</v>
      </c>
      <c r="H294" t="s">
        <v>99</v>
      </c>
      <c r="I294">
        <v>130.88</v>
      </c>
      <c r="J294">
        <v>1</v>
      </c>
      <c r="K294">
        <v>6.54</v>
      </c>
      <c r="L294">
        <v>137.41999999999999</v>
      </c>
      <c r="M294">
        <v>96.47</v>
      </c>
      <c r="N294">
        <v>40.950000000000003</v>
      </c>
      <c r="O294">
        <v>29.8</v>
      </c>
      <c r="P294" t="s">
        <v>46</v>
      </c>
      <c r="Q294">
        <v>9.3000000000000007</v>
      </c>
      <c r="R294" t="str">
        <f t="shared" si="4"/>
        <v>May</v>
      </c>
    </row>
    <row r="295" spans="1:18" x14ac:dyDescent="0.3">
      <c r="A295" t="s">
        <v>581</v>
      </c>
      <c r="B295">
        <v>46167</v>
      </c>
      <c r="C295" t="s">
        <v>403</v>
      </c>
      <c r="D295" t="s">
        <v>51</v>
      </c>
      <c r="E295" t="s">
        <v>51</v>
      </c>
      <c r="F295" t="s">
        <v>21</v>
      </c>
      <c r="G295" t="s">
        <v>22</v>
      </c>
      <c r="H295" t="s">
        <v>34</v>
      </c>
      <c r="I295">
        <v>91.54</v>
      </c>
      <c r="J295">
        <v>5</v>
      </c>
      <c r="K295">
        <v>22.89</v>
      </c>
      <c r="L295">
        <v>480.59</v>
      </c>
      <c r="M295">
        <v>328.51</v>
      </c>
      <c r="N295">
        <v>152.08000000000001</v>
      </c>
      <c r="O295">
        <v>31.64</v>
      </c>
      <c r="P295" t="s">
        <v>46</v>
      </c>
      <c r="Q295">
        <v>6.3</v>
      </c>
      <c r="R295" t="str">
        <f t="shared" si="4"/>
        <v>May</v>
      </c>
    </row>
    <row r="296" spans="1:18" x14ac:dyDescent="0.3">
      <c r="A296" t="s">
        <v>582</v>
      </c>
      <c r="B296">
        <v>46168</v>
      </c>
      <c r="C296" t="s">
        <v>583</v>
      </c>
      <c r="D296" t="s">
        <v>41</v>
      </c>
      <c r="E296" t="s">
        <v>20</v>
      </c>
      <c r="F296" t="s">
        <v>21</v>
      </c>
      <c r="G296" t="s">
        <v>27</v>
      </c>
      <c r="H296" t="s">
        <v>34</v>
      </c>
      <c r="I296">
        <v>98.73</v>
      </c>
      <c r="J296">
        <v>5</v>
      </c>
      <c r="K296">
        <v>24.68</v>
      </c>
      <c r="L296">
        <v>518.33000000000004</v>
      </c>
      <c r="M296">
        <v>387.28</v>
      </c>
      <c r="N296">
        <v>131.05000000000001</v>
      </c>
      <c r="O296">
        <v>25.28</v>
      </c>
      <c r="P296" t="s">
        <v>38</v>
      </c>
      <c r="Q296">
        <v>7.8</v>
      </c>
      <c r="R296" t="str">
        <f t="shared" si="4"/>
        <v>May</v>
      </c>
    </row>
    <row r="297" spans="1:18" x14ac:dyDescent="0.3">
      <c r="A297" t="s">
        <v>584</v>
      </c>
      <c r="B297">
        <v>46168</v>
      </c>
      <c r="C297" t="s">
        <v>585</v>
      </c>
      <c r="D297" t="s">
        <v>19</v>
      </c>
      <c r="E297" t="s">
        <v>20</v>
      </c>
      <c r="F297" t="s">
        <v>33</v>
      </c>
      <c r="G297" t="s">
        <v>22</v>
      </c>
      <c r="H297" t="s">
        <v>34</v>
      </c>
      <c r="I297">
        <v>85.49</v>
      </c>
      <c r="J297">
        <v>2</v>
      </c>
      <c r="K297">
        <v>8.5500000000000007</v>
      </c>
      <c r="L297">
        <v>179.53</v>
      </c>
      <c r="M297">
        <v>132.34</v>
      </c>
      <c r="N297">
        <v>47.19</v>
      </c>
      <c r="O297">
        <v>26.29</v>
      </c>
      <c r="P297" t="s">
        <v>46</v>
      </c>
      <c r="Q297">
        <v>8.8000000000000007</v>
      </c>
      <c r="R297" t="str">
        <f t="shared" si="4"/>
        <v>May</v>
      </c>
    </row>
    <row r="298" spans="1:18" x14ac:dyDescent="0.3">
      <c r="A298" t="s">
        <v>586</v>
      </c>
      <c r="B298">
        <v>46168</v>
      </c>
      <c r="C298" t="s">
        <v>587</v>
      </c>
      <c r="D298" t="s">
        <v>19</v>
      </c>
      <c r="E298" t="s">
        <v>20</v>
      </c>
      <c r="F298" t="s">
        <v>33</v>
      </c>
      <c r="G298" t="s">
        <v>27</v>
      </c>
      <c r="H298" t="s">
        <v>42</v>
      </c>
      <c r="I298">
        <v>304.08</v>
      </c>
      <c r="J298">
        <v>1</v>
      </c>
      <c r="K298">
        <v>15.2</v>
      </c>
      <c r="L298">
        <v>319.27999999999997</v>
      </c>
      <c r="M298">
        <v>253.79</v>
      </c>
      <c r="N298">
        <v>65.489999999999995</v>
      </c>
      <c r="O298">
        <v>20.51</v>
      </c>
      <c r="P298" t="s">
        <v>29</v>
      </c>
      <c r="Q298">
        <v>8.8000000000000007</v>
      </c>
      <c r="R298" t="str">
        <f t="shared" si="4"/>
        <v>May</v>
      </c>
    </row>
    <row r="299" spans="1:18" x14ac:dyDescent="0.3">
      <c r="A299" t="s">
        <v>588</v>
      </c>
      <c r="B299">
        <v>46168</v>
      </c>
      <c r="C299" t="s">
        <v>589</v>
      </c>
      <c r="D299" t="s">
        <v>51</v>
      </c>
      <c r="E299" t="s">
        <v>51</v>
      </c>
      <c r="F299" t="s">
        <v>33</v>
      </c>
      <c r="G299" t="s">
        <v>22</v>
      </c>
      <c r="H299" t="s">
        <v>99</v>
      </c>
      <c r="I299">
        <v>69.489999999999995</v>
      </c>
      <c r="J299">
        <v>9</v>
      </c>
      <c r="K299">
        <v>31.27</v>
      </c>
      <c r="L299">
        <v>656.68</v>
      </c>
      <c r="M299">
        <v>505.67</v>
      </c>
      <c r="N299">
        <v>151.01</v>
      </c>
      <c r="O299">
        <v>23</v>
      </c>
      <c r="P299" t="s">
        <v>46</v>
      </c>
      <c r="Q299">
        <v>8.1999999999999993</v>
      </c>
      <c r="R299" t="str">
        <f t="shared" si="4"/>
        <v>May</v>
      </c>
    </row>
    <row r="300" spans="1:18" x14ac:dyDescent="0.3">
      <c r="A300" t="s">
        <v>590</v>
      </c>
      <c r="B300">
        <v>46168</v>
      </c>
      <c r="C300" t="s">
        <v>591</v>
      </c>
      <c r="D300" t="s">
        <v>51</v>
      </c>
      <c r="E300" t="s">
        <v>51</v>
      </c>
      <c r="F300" t="s">
        <v>21</v>
      </c>
      <c r="G300" t="s">
        <v>22</v>
      </c>
      <c r="H300" t="s">
        <v>52</v>
      </c>
      <c r="I300">
        <v>59.14</v>
      </c>
      <c r="J300">
        <v>8</v>
      </c>
      <c r="K300">
        <v>23.66</v>
      </c>
      <c r="L300">
        <v>496.78</v>
      </c>
      <c r="M300">
        <v>387.75</v>
      </c>
      <c r="N300">
        <v>109.03</v>
      </c>
      <c r="O300">
        <v>21.95</v>
      </c>
      <c r="P300" t="s">
        <v>29</v>
      </c>
      <c r="Q300">
        <v>6.6</v>
      </c>
      <c r="R300" t="str">
        <f t="shared" si="4"/>
        <v>May</v>
      </c>
    </row>
    <row r="301" spans="1:18" x14ac:dyDescent="0.3">
      <c r="A301" t="s">
        <v>592</v>
      </c>
      <c r="B301">
        <v>46168</v>
      </c>
      <c r="C301" t="s">
        <v>551</v>
      </c>
      <c r="D301" t="s">
        <v>59</v>
      </c>
      <c r="E301" t="s">
        <v>59</v>
      </c>
      <c r="F301" t="s">
        <v>21</v>
      </c>
      <c r="G301" t="s">
        <v>22</v>
      </c>
      <c r="H301" t="s">
        <v>45</v>
      </c>
      <c r="I301">
        <v>136.72999999999999</v>
      </c>
      <c r="J301">
        <v>9</v>
      </c>
      <c r="K301">
        <v>61.53</v>
      </c>
      <c r="L301">
        <v>1292.0999999999999</v>
      </c>
      <c r="M301">
        <v>970.1</v>
      </c>
      <c r="N301">
        <v>322</v>
      </c>
      <c r="O301">
        <v>24.92</v>
      </c>
      <c r="P301" t="s">
        <v>29</v>
      </c>
      <c r="Q301">
        <v>7.7</v>
      </c>
      <c r="R301" t="str">
        <f t="shared" si="4"/>
        <v>May</v>
      </c>
    </row>
    <row r="302" spans="1:18" x14ac:dyDescent="0.3">
      <c r="A302" t="s">
        <v>593</v>
      </c>
      <c r="B302">
        <v>46169</v>
      </c>
      <c r="C302" t="s">
        <v>298</v>
      </c>
      <c r="D302" t="s">
        <v>19</v>
      </c>
      <c r="E302" t="s">
        <v>20</v>
      </c>
      <c r="F302" t="s">
        <v>33</v>
      </c>
      <c r="G302" t="s">
        <v>22</v>
      </c>
      <c r="H302" t="s">
        <v>23</v>
      </c>
      <c r="I302">
        <v>150.71</v>
      </c>
      <c r="J302">
        <v>8</v>
      </c>
      <c r="K302">
        <v>60.28</v>
      </c>
      <c r="L302">
        <v>1265.96</v>
      </c>
      <c r="M302">
        <v>1026.78</v>
      </c>
      <c r="N302">
        <v>239.18</v>
      </c>
      <c r="O302">
        <v>18.89</v>
      </c>
      <c r="P302" t="s">
        <v>46</v>
      </c>
      <c r="Q302">
        <v>5.6</v>
      </c>
      <c r="R302" t="str">
        <f t="shared" si="4"/>
        <v>May</v>
      </c>
    </row>
    <row r="303" spans="1:18" x14ac:dyDescent="0.3">
      <c r="A303" t="s">
        <v>594</v>
      </c>
      <c r="B303">
        <v>46169</v>
      </c>
      <c r="C303" t="s">
        <v>595</v>
      </c>
      <c r="D303" t="s">
        <v>41</v>
      </c>
      <c r="E303" t="s">
        <v>20</v>
      </c>
      <c r="F303" t="s">
        <v>33</v>
      </c>
      <c r="G303" t="s">
        <v>22</v>
      </c>
      <c r="H303" t="s">
        <v>23</v>
      </c>
      <c r="I303">
        <v>139.16999999999999</v>
      </c>
      <c r="J303">
        <v>1</v>
      </c>
      <c r="K303">
        <v>6.96</v>
      </c>
      <c r="L303">
        <v>146.13</v>
      </c>
      <c r="M303">
        <v>107.2</v>
      </c>
      <c r="N303">
        <v>38.93</v>
      </c>
      <c r="O303">
        <v>26.64</v>
      </c>
      <c r="P303" t="s">
        <v>46</v>
      </c>
      <c r="Q303">
        <v>7.9</v>
      </c>
      <c r="R303" t="str">
        <f t="shared" si="4"/>
        <v>May</v>
      </c>
    </row>
    <row r="304" spans="1:18" x14ac:dyDescent="0.3">
      <c r="A304" t="s">
        <v>596</v>
      </c>
      <c r="B304">
        <v>46169</v>
      </c>
      <c r="C304" t="s">
        <v>597</v>
      </c>
      <c r="D304" t="s">
        <v>51</v>
      </c>
      <c r="E304" t="s">
        <v>51</v>
      </c>
      <c r="F304" t="s">
        <v>33</v>
      </c>
      <c r="G304" t="s">
        <v>22</v>
      </c>
      <c r="H304" t="s">
        <v>99</v>
      </c>
      <c r="I304">
        <v>79.41</v>
      </c>
      <c r="J304">
        <v>3</v>
      </c>
      <c r="K304">
        <v>11.91</v>
      </c>
      <c r="L304">
        <v>250.14</v>
      </c>
      <c r="M304">
        <v>169.09</v>
      </c>
      <c r="N304">
        <v>81.05</v>
      </c>
      <c r="O304">
        <v>32.4</v>
      </c>
      <c r="P304" t="s">
        <v>46</v>
      </c>
      <c r="Q304">
        <v>7.5</v>
      </c>
      <c r="R304" t="str">
        <f t="shared" si="4"/>
        <v>May</v>
      </c>
    </row>
    <row r="305" spans="1:18" x14ac:dyDescent="0.3">
      <c r="A305" t="s">
        <v>598</v>
      </c>
      <c r="B305">
        <v>46169</v>
      </c>
      <c r="C305" t="s">
        <v>599</v>
      </c>
      <c r="D305" t="s">
        <v>51</v>
      </c>
      <c r="E305" t="s">
        <v>51</v>
      </c>
      <c r="F305" t="s">
        <v>21</v>
      </c>
      <c r="G305" t="s">
        <v>22</v>
      </c>
      <c r="H305" t="s">
        <v>23</v>
      </c>
      <c r="I305">
        <v>139.61000000000001</v>
      </c>
      <c r="J305">
        <v>1</v>
      </c>
      <c r="K305">
        <v>6.98</v>
      </c>
      <c r="L305">
        <v>146.59</v>
      </c>
      <c r="M305">
        <v>120.43</v>
      </c>
      <c r="N305">
        <v>26.16</v>
      </c>
      <c r="O305">
        <v>17.850000000000001</v>
      </c>
      <c r="P305" t="s">
        <v>35</v>
      </c>
      <c r="Q305">
        <v>8.9</v>
      </c>
      <c r="R305" t="str">
        <f t="shared" si="4"/>
        <v>May</v>
      </c>
    </row>
    <row r="306" spans="1:18" x14ac:dyDescent="0.3">
      <c r="A306" t="s">
        <v>600</v>
      </c>
      <c r="B306">
        <v>46169</v>
      </c>
      <c r="C306" t="s">
        <v>601</v>
      </c>
      <c r="D306" t="s">
        <v>41</v>
      </c>
      <c r="E306" t="s">
        <v>20</v>
      </c>
      <c r="F306" t="s">
        <v>21</v>
      </c>
      <c r="G306" t="s">
        <v>27</v>
      </c>
      <c r="H306" t="s">
        <v>28</v>
      </c>
      <c r="I306">
        <v>125.06</v>
      </c>
      <c r="J306">
        <v>4</v>
      </c>
      <c r="K306">
        <v>25.01</v>
      </c>
      <c r="L306">
        <v>525.25</v>
      </c>
      <c r="M306">
        <v>434.12</v>
      </c>
      <c r="N306">
        <v>91.13</v>
      </c>
      <c r="O306">
        <v>17.350000000000001</v>
      </c>
      <c r="P306" t="s">
        <v>38</v>
      </c>
      <c r="Q306">
        <v>5.6</v>
      </c>
      <c r="R306" t="str">
        <f t="shared" si="4"/>
        <v>May</v>
      </c>
    </row>
    <row r="307" spans="1:18" x14ac:dyDescent="0.3">
      <c r="A307" t="s">
        <v>602</v>
      </c>
      <c r="B307">
        <v>46170</v>
      </c>
      <c r="C307" t="s">
        <v>603</v>
      </c>
      <c r="D307" t="s">
        <v>59</v>
      </c>
      <c r="E307" t="s">
        <v>59</v>
      </c>
      <c r="F307" t="s">
        <v>21</v>
      </c>
      <c r="G307" t="s">
        <v>22</v>
      </c>
      <c r="H307" t="s">
        <v>28</v>
      </c>
      <c r="I307">
        <v>128.97999999999999</v>
      </c>
      <c r="J307">
        <v>3</v>
      </c>
      <c r="K307">
        <v>19.350000000000001</v>
      </c>
      <c r="L307">
        <v>406.29</v>
      </c>
      <c r="M307">
        <v>332.96</v>
      </c>
      <c r="N307">
        <v>73.33</v>
      </c>
      <c r="O307">
        <v>18.05</v>
      </c>
      <c r="P307" t="s">
        <v>24</v>
      </c>
      <c r="Q307">
        <v>7.4</v>
      </c>
      <c r="R307" t="str">
        <f t="shared" si="4"/>
        <v>May</v>
      </c>
    </row>
    <row r="308" spans="1:18" x14ac:dyDescent="0.3">
      <c r="A308" t="s">
        <v>604</v>
      </c>
      <c r="B308">
        <v>46170</v>
      </c>
      <c r="C308" t="s">
        <v>605</v>
      </c>
      <c r="D308" t="s">
        <v>41</v>
      </c>
      <c r="E308" t="s">
        <v>20</v>
      </c>
      <c r="F308" t="s">
        <v>33</v>
      </c>
      <c r="G308" t="s">
        <v>22</v>
      </c>
      <c r="H308" t="s">
        <v>45</v>
      </c>
      <c r="I308">
        <v>198.63</v>
      </c>
      <c r="J308">
        <v>3</v>
      </c>
      <c r="K308">
        <v>29.79</v>
      </c>
      <c r="L308">
        <v>625.67999999999995</v>
      </c>
      <c r="M308">
        <v>500.44</v>
      </c>
      <c r="N308">
        <v>125.24</v>
      </c>
      <c r="O308">
        <v>20.02</v>
      </c>
      <c r="P308" t="s">
        <v>29</v>
      </c>
      <c r="Q308">
        <v>5.0999999999999996</v>
      </c>
      <c r="R308" t="str">
        <f t="shared" si="4"/>
        <v>May</v>
      </c>
    </row>
    <row r="309" spans="1:18" x14ac:dyDescent="0.3">
      <c r="A309" t="s">
        <v>606</v>
      </c>
      <c r="B309">
        <v>46171</v>
      </c>
      <c r="C309" t="s">
        <v>607</v>
      </c>
      <c r="D309" t="s">
        <v>51</v>
      </c>
      <c r="E309" t="s">
        <v>51</v>
      </c>
      <c r="F309" t="s">
        <v>33</v>
      </c>
      <c r="G309" t="s">
        <v>27</v>
      </c>
      <c r="H309" t="s">
        <v>45</v>
      </c>
      <c r="I309">
        <v>200.98</v>
      </c>
      <c r="J309">
        <v>7</v>
      </c>
      <c r="K309">
        <v>70.34</v>
      </c>
      <c r="L309">
        <v>1477.2</v>
      </c>
      <c r="M309">
        <v>1208.07</v>
      </c>
      <c r="N309">
        <v>269.13</v>
      </c>
      <c r="O309">
        <v>18.22</v>
      </c>
      <c r="P309" t="s">
        <v>29</v>
      </c>
      <c r="Q309">
        <v>8.8000000000000007</v>
      </c>
      <c r="R309" t="str">
        <f t="shared" si="4"/>
        <v>May</v>
      </c>
    </row>
    <row r="310" spans="1:18" x14ac:dyDescent="0.3">
      <c r="A310" t="s">
        <v>608</v>
      </c>
      <c r="B310">
        <v>46171</v>
      </c>
      <c r="C310" t="s">
        <v>609</v>
      </c>
      <c r="D310" t="s">
        <v>19</v>
      </c>
      <c r="E310" t="s">
        <v>20</v>
      </c>
      <c r="F310" t="s">
        <v>33</v>
      </c>
      <c r="G310" t="s">
        <v>27</v>
      </c>
      <c r="H310" t="s">
        <v>23</v>
      </c>
      <c r="I310">
        <v>99.07</v>
      </c>
      <c r="J310">
        <v>10</v>
      </c>
      <c r="K310">
        <v>49.54</v>
      </c>
      <c r="L310">
        <v>1040.24</v>
      </c>
      <c r="M310">
        <v>716.3</v>
      </c>
      <c r="N310">
        <v>323.94</v>
      </c>
      <c r="O310">
        <v>31.14</v>
      </c>
      <c r="P310" t="s">
        <v>24</v>
      </c>
      <c r="Q310">
        <v>9</v>
      </c>
      <c r="R310" t="str">
        <f t="shared" si="4"/>
        <v>May</v>
      </c>
    </row>
    <row r="311" spans="1:18" x14ac:dyDescent="0.3">
      <c r="A311" t="s">
        <v>610</v>
      </c>
      <c r="B311">
        <v>46172</v>
      </c>
      <c r="C311" t="s">
        <v>611</v>
      </c>
      <c r="D311" t="s">
        <v>19</v>
      </c>
      <c r="E311" t="s">
        <v>20</v>
      </c>
      <c r="F311" t="s">
        <v>21</v>
      </c>
      <c r="G311" t="s">
        <v>22</v>
      </c>
      <c r="H311" t="s">
        <v>23</v>
      </c>
      <c r="I311">
        <v>101.94</v>
      </c>
      <c r="J311">
        <v>3</v>
      </c>
      <c r="K311">
        <v>15.29</v>
      </c>
      <c r="L311">
        <v>321.11</v>
      </c>
      <c r="M311">
        <v>236.63</v>
      </c>
      <c r="N311">
        <v>84.48</v>
      </c>
      <c r="O311">
        <v>26.31</v>
      </c>
      <c r="P311" t="s">
        <v>29</v>
      </c>
      <c r="Q311">
        <v>8.1999999999999993</v>
      </c>
      <c r="R311" t="str">
        <f t="shared" si="4"/>
        <v>May</v>
      </c>
    </row>
    <row r="312" spans="1:18" x14ac:dyDescent="0.3">
      <c r="A312" t="s">
        <v>612</v>
      </c>
      <c r="B312">
        <v>46172</v>
      </c>
      <c r="C312" t="s">
        <v>613</v>
      </c>
      <c r="D312" t="s">
        <v>19</v>
      </c>
      <c r="E312" t="s">
        <v>20</v>
      </c>
      <c r="F312" t="s">
        <v>21</v>
      </c>
      <c r="G312" t="s">
        <v>27</v>
      </c>
      <c r="H312" t="s">
        <v>72</v>
      </c>
      <c r="I312">
        <v>212.72</v>
      </c>
      <c r="J312">
        <v>1</v>
      </c>
      <c r="K312">
        <v>10.64</v>
      </c>
      <c r="L312">
        <v>223.36</v>
      </c>
      <c r="M312">
        <v>175.16</v>
      </c>
      <c r="N312">
        <v>48.2</v>
      </c>
      <c r="O312">
        <v>21.58</v>
      </c>
      <c r="P312" t="s">
        <v>35</v>
      </c>
      <c r="Q312">
        <v>10</v>
      </c>
      <c r="R312" t="str">
        <f t="shared" si="4"/>
        <v>May</v>
      </c>
    </row>
    <row r="313" spans="1:18" x14ac:dyDescent="0.3">
      <c r="A313" t="s">
        <v>614</v>
      </c>
      <c r="B313">
        <v>46173</v>
      </c>
      <c r="C313" t="s">
        <v>615</v>
      </c>
      <c r="D313" t="s">
        <v>59</v>
      </c>
      <c r="E313" t="s">
        <v>59</v>
      </c>
      <c r="F313" t="s">
        <v>21</v>
      </c>
      <c r="G313" t="s">
        <v>27</v>
      </c>
      <c r="H313" t="s">
        <v>34</v>
      </c>
      <c r="I313">
        <v>98.99</v>
      </c>
      <c r="J313">
        <v>8</v>
      </c>
      <c r="K313">
        <v>39.6</v>
      </c>
      <c r="L313">
        <v>831.52</v>
      </c>
      <c r="M313">
        <v>677.08</v>
      </c>
      <c r="N313">
        <v>154.44</v>
      </c>
      <c r="O313">
        <v>18.57</v>
      </c>
      <c r="P313" t="s">
        <v>29</v>
      </c>
      <c r="Q313">
        <v>6.2</v>
      </c>
      <c r="R313" t="str">
        <f t="shared" si="4"/>
        <v>May</v>
      </c>
    </row>
    <row r="314" spans="1:18" x14ac:dyDescent="0.3">
      <c r="A314" t="s">
        <v>616</v>
      </c>
      <c r="B314">
        <v>46173</v>
      </c>
      <c r="C314" t="s">
        <v>617</v>
      </c>
      <c r="D314" t="s">
        <v>19</v>
      </c>
      <c r="E314" t="s">
        <v>20</v>
      </c>
      <c r="F314" t="s">
        <v>33</v>
      </c>
      <c r="G314" t="s">
        <v>27</v>
      </c>
      <c r="H314" t="s">
        <v>45</v>
      </c>
      <c r="I314">
        <v>136.52000000000001</v>
      </c>
      <c r="J314">
        <v>6</v>
      </c>
      <c r="K314">
        <v>40.96</v>
      </c>
      <c r="L314">
        <v>860.08</v>
      </c>
      <c r="M314">
        <v>661.37</v>
      </c>
      <c r="N314">
        <v>198.71</v>
      </c>
      <c r="O314">
        <v>23.1</v>
      </c>
      <c r="P314" t="s">
        <v>38</v>
      </c>
      <c r="Q314">
        <v>9.1</v>
      </c>
      <c r="R314" t="str">
        <f t="shared" si="4"/>
        <v>May</v>
      </c>
    </row>
    <row r="315" spans="1:18" x14ac:dyDescent="0.3">
      <c r="A315" t="s">
        <v>618</v>
      </c>
      <c r="B315">
        <v>46173</v>
      </c>
      <c r="C315" t="s">
        <v>619</v>
      </c>
      <c r="D315" t="s">
        <v>51</v>
      </c>
      <c r="E315" t="s">
        <v>51</v>
      </c>
      <c r="F315" t="s">
        <v>21</v>
      </c>
      <c r="G315" t="s">
        <v>22</v>
      </c>
      <c r="H315" t="s">
        <v>34</v>
      </c>
      <c r="I315">
        <v>92.5</v>
      </c>
      <c r="J315">
        <v>8</v>
      </c>
      <c r="K315">
        <v>37</v>
      </c>
      <c r="L315">
        <v>777</v>
      </c>
      <c r="M315">
        <v>635.83000000000004</v>
      </c>
      <c r="N315">
        <v>141.16999999999999</v>
      </c>
      <c r="O315">
        <v>18.170000000000002</v>
      </c>
      <c r="P315" t="s">
        <v>46</v>
      </c>
      <c r="Q315">
        <v>6.8</v>
      </c>
      <c r="R315" t="str">
        <f t="shared" si="4"/>
        <v>May</v>
      </c>
    </row>
    <row r="316" spans="1:18" x14ac:dyDescent="0.3">
      <c r="A316" t="s">
        <v>620</v>
      </c>
      <c r="B316">
        <v>46173</v>
      </c>
      <c r="C316" t="s">
        <v>621</v>
      </c>
      <c r="D316" t="s">
        <v>19</v>
      </c>
      <c r="E316" t="s">
        <v>20</v>
      </c>
      <c r="F316" t="s">
        <v>21</v>
      </c>
      <c r="G316" t="s">
        <v>22</v>
      </c>
      <c r="H316" t="s">
        <v>52</v>
      </c>
      <c r="I316">
        <v>79.760000000000005</v>
      </c>
      <c r="J316">
        <v>6</v>
      </c>
      <c r="K316">
        <v>23.93</v>
      </c>
      <c r="L316">
        <v>502.49</v>
      </c>
      <c r="M316">
        <v>369.1</v>
      </c>
      <c r="N316">
        <v>133.38999999999999</v>
      </c>
      <c r="O316">
        <v>26.55</v>
      </c>
      <c r="P316" t="s">
        <v>24</v>
      </c>
      <c r="Q316">
        <v>9.1</v>
      </c>
      <c r="R316" t="str">
        <f t="shared" si="4"/>
        <v>May</v>
      </c>
    </row>
    <row r="317" spans="1:18" x14ac:dyDescent="0.3">
      <c r="A317" t="s">
        <v>622</v>
      </c>
      <c r="B317">
        <v>46173</v>
      </c>
      <c r="C317" t="s">
        <v>623</v>
      </c>
      <c r="D317" t="s">
        <v>19</v>
      </c>
      <c r="E317" t="s">
        <v>20</v>
      </c>
      <c r="F317" t="s">
        <v>21</v>
      </c>
      <c r="G317" t="s">
        <v>22</v>
      </c>
      <c r="H317" t="s">
        <v>99</v>
      </c>
      <c r="I317">
        <v>120.49</v>
      </c>
      <c r="J317">
        <v>10</v>
      </c>
      <c r="K317">
        <v>60.24</v>
      </c>
      <c r="L317">
        <v>1265.1400000000001</v>
      </c>
      <c r="M317">
        <v>1036.43</v>
      </c>
      <c r="N317">
        <v>228.71</v>
      </c>
      <c r="O317">
        <v>18.079999999999998</v>
      </c>
      <c r="P317" t="s">
        <v>35</v>
      </c>
      <c r="Q317">
        <v>8.1999999999999993</v>
      </c>
      <c r="R317" t="str">
        <f t="shared" si="4"/>
        <v>May</v>
      </c>
    </row>
    <row r="318" spans="1:18" x14ac:dyDescent="0.3">
      <c r="A318" t="s">
        <v>624</v>
      </c>
      <c r="B318">
        <v>46174</v>
      </c>
      <c r="C318" t="s">
        <v>193</v>
      </c>
      <c r="D318" t="s">
        <v>19</v>
      </c>
      <c r="E318" t="s">
        <v>20</v>
      </c>
      <c r="F318" t="s">
        <v>21</v>
      </c>
      <c r="G318" t="s">
        <v>22</v>
      </c>
      <c r="H318" t="s">
        <v>28</v>
      </c>
      <c r="I318">
        <v>164.67</v>
      </c>
      <c r="J318">
        <v>4</v>
      </c>
      <c r="K318">
        <v>32.93</v>
      </c>
      <c r="L318">
        <v>691.61</v>
      </c>
      <c r="M318">
        <v>524.51</v>
      </c>
      <c r="N318">
        <v>167.1</v>
      </c>
      <c r="O318">
        <v>24.16</v>
      </c>
      <c r="P318" t="s">
        <v>46</v>
      </c>
      <c r="Q318">
        <v>7.1</v>
      </c>
      <c r="R318" t="str">
        <f t="shared" si="4"/>
        <v>June</v>
      </c>
    </row>
    <row r="319" spans="1:18" x14ac:dyDescent="0.3">
      <c r="A319" t="s">
        <v>625</v>
      </c>
      <c r="B319">
        <v>46174</v>
      </c>
      <c r="C319" t="s">
        <v>322</v>
      </c>
      <c r="D319" t="s">
        <v>59</v>
      </c>
      <c r="E319" t="s">
        <v>59</v>
      </c>
      <c r="F319" t="s">
        <v>33</v>
      </c>
      <c r="G319" t="s">
        <v>27</v>
      </c>
      <c r="H319" t="s">
        <v>72</v>
      </c>
      <c r="I319">
        <v>178.65</v>
      </c>
      <c r="J319">
        <v>7</v>
      </c>
      <c r="K319">
        <v>62.53</v>
      </c>
      <c r="L319">
        <v>1313.08</v>
      </c>
      <c r="M319">
        <v>968.69</v>
      </c>
      <c r="N319">
        <v>344.39</v>
      </c>
      <c r="O319">
        <v>26.23</v>
      </c>
      <c r="P319" t="s">
        <v>38</v>
      </c>
      <c r="Q319">
        <v>7.3</v>
      </c>
      <c r="R319" t="str">
        <f t="shared" si="4"/>
        <v>June</v>
      </c>
    </row>
    <row r="320" spans="1:18" x14ac:dyDescent="0.3">
      <c r="A320" t="s">
        <v>626</v>
      </c>
      <c r="B320">
        <v>46174</v>
      </c>
      <c r="C320" t="s">
        <v>512</v>
      </c>
      <c r="D320" t="s">
        <v>59</v>
      </c>
      <c r="E320" t="s">
        <v>59</v>
      </c>
      <c r="F320" t="s">
        <v>33</v>
      </c>
      <c r="G320" t="s">
        <v>27</v>
      </c>
      <c r="H320" t="s">
        <v>28</v>
      </c>
      <c r="I320">
        <v>134.53</v>
      </c>
      <c r="J320">
        <v>4</v>
      </c>
      <c r="K320">
        <v>26.91</v>
      </c>
      <c r="L320">
        <v>565.03</v>
      </c>
      <c r="M320">
        <v>406.41</v>
      </c>
      <c r="N320">
        <v>158.62</v>
      </c>
      <c r="O320">
        <v>28.07</v>
      </c>
      <c r="P320" t="s">
        <v>29</v>
      </c>
      <c r="R320" t="str">
        <f t="shared" si="4"/>
        <v>June</v>
      </c>
    </row>
    <row r="321" spans="1:18" x14ac:dyDescent="0.3">
      <c r="A321" t="s">
        <v>627</v>
      </c>
      <c r="B321">
        <v>46174</v>
      </c>
      <c r="C321" t="s">
        <v>628</v>
      </c>
      <c r="D321" t="s">
        <v>41</v>
      </c>
      <c r="E321" t="s">
        <v>20</v>
      </c>
      <c r="F321" t="s">
        <v>33</v>
      </c>
      <c r="G321" t="s">
        <v>22</v>
      </c>
      <c r="H321" t="s">
        <v>45</v>
      </c>
      <c r="I321">
        <v>198.29</v>
      </c>
      <c r="J321">
        <v>3</v>
      </c>
      <c r="K321">
        <v>29.74</v>
      </c>
      <c r="L321">
        <v>624.61</v>
      </c>
      <c r="M321">
        <v>475.01</v>
      </c>
      <c r="N321">
        <v>149.6</v>
      </c>
      <c r="O321">
        <v>23.95</v>
      </c>
      <c r="P321" t="s">
        <v>46</v>
      </c>
      <c r="Q321">
        <v>9.3000000000000007</v>
      </c>
      <c r="R321" t="str">
        <f t="shared" si="4"/>
        <v>June</v>
      </c>
    </row>
    <row r="322" spans="1:18" x14ac:dyDescent="0.3">
      <c r="A322" t="s">
        <v>629</v>
      </c>
      <c r="B322">
        <v>46175</v>
      </c>
      <c r="C322" t="s">
        <v>308</v>
      </c>
      <c r="D322" t="s">
        <v>41</v>
      </c>
      <c r="E322" t="s">
        <v>20</v>
      </c>
      <c r="F322" t="s">
        <v>21</v>
      </c>
      <c r="G322" t="s">
        <v>22</v>
      </c>
      <c r="H322" t="s">
        <v>28</v>
      </c>
      <c r="I322">
        <v>167.28</v>
      </c>
      <c r="J322">
        <v>7</v>
      </c>
      <c r="K322">
        <v>58.55</v>
      </c>
      <c r="L322">
        <v>1229.51</v>
      </c>
      <c r="M322">
        <v>1012.67</v>
      </c>
      <c r="N322">
        <v>216.84</v>
      </c>
      <c r="O322">
        <v>17.64</v>
      </c>
      <c r="P322" t="s">
        <v>24</v>
      </c>
      <c r="Q322">
        <v>7.6</v>
      </c>
      <c r="R322" t="str">
        <f t="shared" si="4"/>
        <v>June</v>
      </c>
    </row>
    <row r="323" spans="1:18" x14ac:dyDescent="0.3">
      <c r="A323" t="s">
        <v>630</v>
      </c>
      <c r="B323">
        <v>46175</v>
      </c>
      <c r="C323" t="s">
        <v>631</v>
      </c>
      <c r="D323" t="s">
        <v>32</v>
      </c>
      <c r="E323" t="s">
        <v>32</v>
      </c>
      <c r="F323" t="s">
        <v>33</v>
      </c>
      <c r="G323" t="s">
        <v>27</v>
      </c>
      <c r="H323" t="s">
        <v>28</v>
      </c>
      <c r="I323">
        <v>151.41999999999999</v>
      </c>
      <c r="J323">
        <v>9</v>
      </c>
      <c r="K323">
        <v>68.14</v>
      </c>
      <c r="L323">
        <v>1430.92</v>
      </c>
      <c r="M323">
        <v>1114.8800000000001</v>
      </c>
      <c r="N323">
        <v>316.04000000000002</v>
      </c>
      <c r="O323">
        <v>22.09</v>
      </c>
      <c r="P323" t="s">
        <v>38</v>
      </c>
      <c r="Q323">
        <v>9.4</v>
      </c>
      <c r="R323" t="str">
        <f t="shared" ref="R323:R386" si="5">TEXT(B323,"mmmm")</f>
        <v>June</v>
      </c>
    </row>
    <row r="324" spans="1:18" x14ac:dyDescent="0.3">
      <c r="A324" t="s">
        <v>632</v>
      </c>
      <c r="B324">
        <v>46176</v>
      </c>
      <c r="C324" t="s">
        <v>123</v>
      </c>
      <c r="D324" t="s">
        <v>41</v>
      </c>
      <c r="E324" t="s">
        <v>20</v>
      </c>
      <c r="F324" t="s">
        <v>33</v>
      </c>
      <c r="G324" t="s">
        <v>22</v>
      </c>
      <c r="H324" t="s">
        <v>45</v>
      </c>
      <c r="I324">
        <v>298.45999999999998</v>
      </c>
      <c r="J324">
        <v>4</v>
      </c>
      <c r="K324">
        <v>59.69</v>
      </c>
      <c r="L324">
        <v>1253.53</v>
      </c>
      <c r="M324">
        <v>953.74</v>
      </c>
      <c r="N324">
        <v>299.79000000000002</v>
      </c>
      <c r="O324">
        <v>23.92</v>
      </c>
      <c r="P324" t="s">
        <v>38</v>
      </c>
      <c r="Q324">
        <v>7.9</v>
      </c>
      <c r="R324" t="str">
        <f t="shared" si="5"/>
        <v>June</v>
      </c>
    </row>
    <row r="325" spans="1:18" x14ac:dyDescent="0.3">
      <c r="A325" t="s">
        <v>633</v>
      </c>
      <c r="B325">
        <v>46176</v>
      </c>
      <c r="C325" t="s">
        <v>634</v>
      </c>
      <c r="D325" t="s">
        <v>41</v>
      </c>
      <c r="E325" t="s">
        <v>20</v>
      </c>
      <c r="F325" t="s">
        <v>33</v>
      </c>
      <c r="G325" t="s">
        <v>22</v>
      </c>
      <c r="H325" t="s">
        <v>45</v>
      </c>
      <c r="I325">
        <v>146.99</v>
      </c>
      <c r="J325">
        <v>10</v>
      </c>
      <c r="K325">
        <v>73.5</v>
      </c>
      <c r="L325">
        <v>1543.4</v>
      </c>
      <c r="M325">
        <v>1284.8499999999999</v>
      </c>
      <c r="N325">
        <v>258.55</v>
      </c>
      <c r="O325">
        <v>16.75</v>
      </c>
      <c r="P325" t="s">
        <v>46</v>
      </c>
      <c r="Q325">
        <v>6.7</v>
      </c>
      <c r="R325" t="str">
        <f t="shared" si="5"/>
        <v>June</v>
      </c>
    </row>
    <row r="326" spans="1:18" x14ac:dyDescent="0.3">
      <c r="A326" t="s">
        <v>635</v>
      </c>
      <c r="B326">
        <v>46176</v>
      </c>
      <c r="C326" t="s">
        <v>636</v>
      </c>
      <c r="D326" t="s">
        <v>51</v>
      </c>
      <c r="E326" t="s">
        <v>51</v>
      </c>
      <c r="F326" t="s">
        <v>33</v>
      </c>
      <c r="G326" t="s">
        <v>22</v>
      </c>
      <c r="H326" t="s">
        <v>42</v>
      </c>
      <c r="I326">
        <v>329.97</v>
      </c>
      <c r="J326">
        <v>3</v>
      </c>
      <c r="K326">
        <v>49.5</v>
      </c>
      <c r="L326">
        <v>1039.4100000000001</v>
      </c>
      <c r="M326">
        <v>766.67</v>
      </c>
      <c r="N326">
        <v>272.74</v>
      </c>
      <c r="O326">
        <v>26.24</v>
      </c>
      <c r="P326" t="s">
        <v>38</v>
      </c>
      <c r="Q326">
        <v>9.6</v>
      </c>
      <c r="R326" t="str">
        <f t="shared" si="5"/>
        <v>June</v>
      </c>
    </row>
    <row r="327" spans="1:18" x14ac:dyDescent="0.3">
      <c r="A327" t="s">
        <v>637</v>
      </c>
      <c r="B327">
        <v>46176</v>
      </c>
      <c r="C327" t="s">
        <v>263</v>
      </c>
      <c r="D327" t="s">
        <v>51</v>
      </c>
      <c r="E327" t="s">
        <v>51</v>
      </c>
      <c r="F327" t="s">
        <v>21</v>
      </c>
      <c r="G327" t="s">
        <v>27</v>
      </c>
      <c r="H327" t="s">
        <v>28</v>
      </c>
      <c r="I327">
        <v>184.88</v>
      </c>
      <c r="J327">
        <v>7</v>
      </c>
      <c r="K327">
        <v>64.709999999999994</v>
      </c>
      <c r="L327">
        <v>1358.87</v>
      </c>
      <c r="M327">
        <v>961.14</v>
      </c>
      <c r="N327">
        <v>397.73</v>
      </c>
      <c r="O327">
        <v>29.27</v>
      </c>
      <c r="P327" t="s">
        <v>35</v>
      </c>
      <c r="Q327">
        <v>7.7</v>
      </c>
      <c r="R327" t="str">
        <f t="shared" si="5"/>
        <v>June</v>
      </c>
    </row>
    <row r="328" spans="1:18" x14ac:dyDescent="0.3">
      <c r="A328" t="s">
        <v>638</v>
      </c>
      <c r="B328">
        <v>46177</v>
      </c>
      <c r="C328" t="s">
        <v>639</v>
      </c>
      <c r="D328" t="s">
        <v>51</v>
      </c>
      <c r="E328" t="s">
        <v>51</v>
      </c>
      <c r="F328" t="s">
        <v>33</v>
      </c>
      <c r="G328" t="s">
        <v>22</v>
      </c>
      <c r="H328" t="s">
        <v>72</v>
      </c>
      <c r="I328">
        <v>209.61</v>
      </c>
      <c r="J328">
        <v>10</v>
      </c>
      <c r="K328">
        <v>104.81</v>
      </c>
      <c r="L328">
        <v>2200.91</v>
      </c>
      <c r="M328">
        <v>1597.52</v>
      </c>
      <c r="N328">
        <v>603.39</v>
      </c>
      <c r="O328">
        <v>27.42</v>
      </c>
      <c r="P328" t="s">
        <v>29</v>
      </c>
      <c r="Q328">
        <v>8.6</v>
      </c>
      <c r="R328" t="str">
        <f t="shared" si="5"/>
        <v>June</v>
      </c>
    </row>
    <row r="329" spans="1:18" x14ac:dyDescent="0.3">
      <c r="A329" t="s">
        <v>640</v>
      </c>
      <c r="B329">
        <v>46177</v>
      </c>
      <c r="C329" t="s">
        <v>641</v>
      </c>
      <c r="D329" t="s">
        <v>59</v>
      </c>
      <c r="E329" t="s">
        <v>59</v>
      </c>
      <c r="F329" t="s">
        <v>33</v>
      </c>
      <c r="G329" t="s">
        <v>27</v>
      </c>
      <c r="H329" t="s">
        <v>99</v>
      </c>
      <c r="I329">
        <v>127.53</v>
      </c>
      <c r="J329">
        <v>1</v>
      </c>
      <c r="K329">
        <v>6.38</v>
      </c>
      <c r="L329">
        <v>133.91</v>
      </c>
      <c r="M329">
        <v>103.73</v>
      </c>
      <c r="N329">
        <v>30.18</v>
      </c>
      <c r="O329">
        <v>22.54</v>
      </c>
      <c r="P329" t="s">
        <v>46</v>
      </c>
      <c r="Q329">
        <v>8.6999999999999993</v>
      </c>
      <c r="R329" t="str">
        <f t="shared" si="5"/>
        <v>June</v>
      </c>
    </row>
    <row r="330" spans="1:18" x14ac:dyDescent="0.3">
      <c r="A330" t="s">
        <v>642</v>
      </c>
      <c r="B330">
        <v>46178</v>
      </c>
      <c r="C330" t="s">
        <v>127</v>
      </c>
      <c r="D330" t="s">
        <v>59</v>
      </c>
      <c r="E330" t="s">
        <v>59</v>
      </c>
      <c r="F330" t="s">
        <v>33</v>
      </c>
      <c r="G330" t="s">
        <v>27</v>
      </c>
      <c r="H330" t="s">
        <v>72</v>
      </c>
      <c r="I330">
        <v>209.15</v>
      </c>
      <c r="J330">
        <v>6</v>
      </c>
      <c r="K330">
        <v>62.74</v>
      </c>
      <c r="L330">
        <v>1317.64</v>
      </c>
      <c r="M330">
        <v>884.83</v>
      </c>
      <c r="N330">
        <v>432.81</v>
      </c>
      <c r="O330">
        <v>32.85</v>
      </c>
      <c r="P330" t="s">
        <v>46</v>
      </c>
      <c r="Q330">
        <v>7.7</v>
      </c>
      <c r="R330" t="str">
        <f t="shared" si="5"/>
        <v>June</v>
      </c>
    </row>
    <row r="331" spans="1:18" x14ac:dyDescent="0.3">
      <c r="A331" t="s">
        <v>643</v>
      </c>
      <c r="B331">
        <v>46178</v>
      </c>
      <c r="C331" t="s">
        <v>248</v>
      </c>
      <c r="D331" t="s">
        <v>41</v>
      </c>
      <c r="E331" t="s">
        <v>20</v>
      </c>
      <c r="F331" t="s">
        <v>21</v>
      </c>
      <c r="G331" t="s">
        <v>22</v>
      </c>
      <c r="H331" t="s">
        <v>99</v>
      </c>
      <c r="I331">
        <v>89.96</v>
      </c>
      <c r="J331">
        <v>8</v>
      </c>
      <c r="K331">
        <v>35.979999999999997</v>
      </c>
      <c r="L331">
        <v>755.66</v>
      </c>
      <c r="M331">
        <v>530.13</v>
      </c>
      <c r="N331">
        <v>225.53</v>
      </c>
      <c r="O331">
        <v>29.85</v>
      </c>
      <c r="P331" t="s">
        <v>46</v>
      </c>
      <c r="Q331">
        <v>6.9</v>
      </c>
      <c r="R331" t="str">
        <f t="shared" si="5"/>
        <v>June</v>
      </c>
    </row>
    <row r="332" spans="1:18" x14ac:dyDescent="0.3">
      <c r="A332" t="s">
        <v>644</v>
      </c>
      <c r="B332">
        <v>46179</v>
      </c>
      <c r="C332" t="s">
        <v>645</v>
      </c>
      <c r="D332" t="s">
        <v>19</v>
      </c>
      <c r="E332" t="s">
        <v>20</v>
      </c>
      <c r="F332" t="s">
        <v>21</v>
      </c>
      <c r="G332" t="s">
        <v>27</v>
      </c>
      <c r="H332" t="s">
        <v>72</v>
      </c>
      <c r="I332">
        <v>230.3</v>
      </c>
      <c r="J332">
        <v>6</v>
      </c>
      <c r="K332">
        <v>69.09</v>
      </c>
      <c r="L332">
        <v>1450.89</v>
      </c>
      <c r="M332">
        <v>1019.5</v>
      </c>
      <c r="N332">
        <v>431.39</v>
      </c>
      <c r="O332">
        <v>29.73</v>
      </c>
      <c r="P332" t="s">
        <v>29</v>
      </c>
      <c r="Q332">
        <v>8.6999999999999993</v>
      </c>
      <c r="R332" t="str">
        <f t="shared" si="5"/>
        <v>June</v>
      </c>
    </row>
    <row r="333" spans="1:18" x14ac:dyDescent="0.3">
      <c r="A333" t="s">
        <v>646</v>
      </c>
      <c r="B333">
        <v>46179</v>
      </c>
      <c r="C333" t="s">
        <v>647</v>
      </c>
      <c r="D333" t="s">
        <v>32</v>
      </c>
      <c r="E333" t="s">
        <v>32</v>
      </c>
      <c r="F333" t="s">
        <v>33</v>
      </c>
      <c r="G333" t="s">
        <v>27</v>
      </c>
      <c r="H333" t="s">
        <v>99</v>
      </c>
      <c r="I333">
        <v>96.25</v>
      </c>
      <c r="J333">
        <v>4</v>
      </c>
      <c r="K333">
        <v>19.25</v>
      </c>
      <c r="L333">
        <v>404.25</v>
      </c>
      <c r="M333">
        <v>338.05</v>
      </c>
      <c r="N333">
        <v>66.2</v>
      </c>
      <c r="O333">
        <v>16.38</v>
      </c>
      <c r="P333" t="s">
        <v>46</v>
      </c>
      <c r="Q333">
        <v>8.5</v>
      </c>
      <c r="R333" t="str">
        <f t="shared" si="5"/>
        <v>June</v>
      </c>
    </row>
    <row r="334" spans="1:18" x14ac:dyDescent="0.3">
      <c r="A334" t="s">
        <v>648</v>
      </c>
      <c r="B334">
        <v>46180</v>
      </c>
      <c r="C334" t="s">
        <v>649</v>
      </c>
      <c r="D334" t="s">
        <v>51</v>
      </c>
      <c r="E334" t="s">
        <v>51</v>
      </c>
      <c r="F334" t="s">
        <v>21</v>
      </c>
      <c r="G334" t="s">
        <v>22</v>
      </c>
      <c r="H334" t="s">
        <v>99</v>
      </c>
      <c r="I334">
        <v>62.17</v>
      </c>
      <c r="J334">
        <v>9</v>
      </c>
      <c r="K334">
        <v>27.98</v>
      </c>
      <c r="L334">
        <v>587.51</v>
      </c>
      <c r="M334">
        <v>447.4</v>
      </c>
      <c r="N334">
        <v>140.11000000000001</v>
      </c>
      <c r="O334">
        <v>23.85</v>
      </c>
      <c r="P334" t="s">
        <v>46</v>
      </c>
      <c r="Q334">
        <v>9.1</v>
      </c>
      <c r="R334" t="str">
        <f t="shared" si="5"/>
        <v>June</v>
      </c>
    </row>
    <row r="335" spans="1:18" x14ac:dyDescent="0.3">
      <c r="A335" t="s">
        <v>650</v>
      </c>
      <c r="B335">
        <v>46180</v>
      </c>
      <c r="C335" t="s">
        <v>651</v>
      </c>
      <c r="D335" t="s">
        <v>41</v>
      </c>
      <c r="E335" t="s">
        <v>20</v>
      </c>
      <c r="F335" t="s">
        <v>21</v>
      </c>
      <c r="G335" t="s">
        <v>22</v>
      </c>
      <c r="H335" t="s">
        <v>99</v>
      </c>
      <c r="I335">
        <v>80.510000000000005</v>
      </c>
      <c r="J335">
        <v>8</v>
      </c>
      <c r="K335">
        <v>32.200000000000003</v>
      </c>
      <c r="L335">
        <v>676.28</v>
      </c>
      <c r="M335">
        <v>474.11</v>
      </c>
      <c r="N335">
        <v>202.17</v>
      </c>
      <c r="O335">
        <v>29.89</v>
      </c>
      <c r="P335" t="s">
        <v>46</v>
      </c>
      <c r="Q335">
        <v>5.6</v>
      </c>
      <c r="R335" t="str">
        <f t="shared" si="5"/>
        <v>June</v>
      </c>
    </row>
    <row r="336" spans="1:18" x14ac:dyDescent="0.3">
      <c r="A336" t="s">
        <v>652</v>
      </c>
      <c r="B336">
        <v>46182</v>
      </c>
      <c r="C336" t="s">
        <v>653</v>
      </c>
      <c r="D336" t="s">
        <v>41</v>
      </c>
      <c r="E336" t="s">
        <v>20</v>
      </c>
      <c r="F336" t="s">
        <v>21</v>
      </c>
      <c r="G336" t="s">
        <v>22</v>
      </c>
      <c r="H336" t="s">
        <v>99</v>
      </c>
      <c r="I336">
        <v>73.489999999999995</v>
      </c>
      <c r="J336">
        <v>3</v>
      </c>
      <c r="K336">
        <v>11.02</v>
      </c>
      <c r="L336">
        <v>231.49</v>
      </c>
      <c r="M336">
        <v>180.04</v>
      </c>
      <c r="N336">
        <v>51.45</v>
      </c>
      <c r="O336">
        <v>22.23</v>
      </c>
      <c r="P336" t="s">
        <v>29</v>
      </c>
      <c r="Q336">
        <v>7</v>
      </c>
      <c r="R336" t="str">
        <f t="shared" si="5"/>
        <v>June</v>
      </c>
    </row>
    <row r="337" spans="1:18" x14ac:dyDescent="0.3">
      <c r="A337" t="s">
        <v>654</v>
      </c>
      <c r="B337">
        <v>46182</v>
      </c>
      <c r="C337" t="s">
        <v>655</v>
      </c>
      <c r="D337" t="s">
        <v>59</v>
      </c>
      <c r="E337" t="s">
        <v>59</v>
      </c>
      <c r="F337" t="s">
        <v>21</v>
      </c>
      <c r="G337" t="s">
        <v>27</v>
      </c>
      <c r="H337" t="s">
        <v>23</v>
      </c>
      <c r="I337">
        <v>157.81</v>
      </c>
      <c r="J337">
        <v>9</v>
      </c>
      <c r="K337">
        <v>71.010000000000005</v>
      </c>
      <c r="L337">
        <v>1491.3</v>
      </c>
      <c r="M337">
        <v>1213.58</v>
      </c>
      <c r="N337">
        <v>277.72000000000003</v>
      </c>
      <c r="O337">
        <v>18.62</v>
      </c>
      <c r="P337" t="s">
        <v>46</v>
      </c>
      <c r="Q337">
        <v>6.3</v>
      </c>
      <c r="R337" t="str">
        <f t="shared" si="5"/>
        <v>June</v>
      </c>
    </row>
    <row r="338" spans="1:18" x14ac:dyDescent="0.3">
      <c r="A338" t="s">
        <v>656</v>
      </c>
      <c r="B338">
        <v>46183</v>
      </c>
      <c r="C338" t="s">
        <v>657</v>
      </c>
      <c r="D338" t="s">
        <v>59</v>
      </c>
      <c r="E338" t="s">
        <v>59</v>
      </c>
      <c r="F338" t="s">
        <v>21</v>
      </c>
      <c r="G338" t="s">
        <v>22</v>
      </c>
      <c r="H338" t="s">
        <v>28</v>
      </c>
      <c r="I338">
        <v>108.29</v>
      </c>
      <c r="J338">
        <v>5</v>
      </c>
      <c r="K338">
        <v>27.07</v>
      </c>
      <c r="L338">
        <v>568.52</v>
      </c>
      <c r="M338">
        <v>435.75</v>
      </c>
      <c r="N338">
        <v>132.77000000000001</v>
      </c>
      <c r="O338">
        <v>23.35</v>
      </c>
      <c r="P338" t="s">
        <v>24</v>
      </c>
      <c r="Q338">
        <v>6.8</v>
      </c>
      <c r="R338" t="str">
        <f t="shared" si="5"/>
        <v>June</v>
      </c>
    </row>
    <row r="339" spans="1:18" x14ac:dyDescent="0.3">
      <c r="A339" t="s">
        <v>658</v>
      </c>
      <c r="B339">
        <v>46183</v>
      </c>
      <c r="C339" t="s">
        <v>376</v>
      </c>
      <c r="D339" t="s">
        <v>19</v>
      </c>
      <c r="E339" t="s">
        <v>20</v>
      </c>
      <c r="F339" t="s">
        <v>21</v>
      </c>
      <c r="G339" t="s">
        <v>27</v>
      </c>
      <c r="H339" t="s">
        <v>72</v>
      </c>
      <c r="I339">
        <v>199.28</v>
      </c>
      <c r="J339">
        <v>3</v>
      </c>
      <c r="K339">
        <v>29.89</v>
      </c>
      <c r="L339">
        <v>627.73</v>
      </c>
      <c r="M339">
        <v>480.41</v>
      </c>
      <c r="N339">
        <v>147.32</v>
      </c>
      <c r="O339">
        <v>23.47</v>
      </c>
      <c r="P339" t="s">
        <v>38</v>
      </c>
      <c r="Q339">
        <v>7.7</v>
      </c>
      <c r="R339" t="str">
        <f t="shared" si="5"/>
        <v>June</v>
      </c>
    </row>
    <row r="340" spans="1:18" x14ac:dyDescent="0.3">
      <c r="A340" t="s">
        <v>659</v>
      </c>
      <c r="B340">
        <v>46184</v>
      </c>
      <c r="C340" t="s">
        <v>660</v>
      </c>
      <c r="D340" t="s">
        <v>19</v>
      </c>
      <c r="E340" t="s">
        <v>20</v>
      </c>
      <c r="F340" t="s">
        <v>21</v>
      </c>
      <c r="G340" t="s">
        <v>22</v>
      </c>
      <c r="H340" t="s">
        <v>34</v>
      </c>
      <c r="I340">
        <v>61.93</v>
      </c>
      <c r="J340">
        <v>10</v>
      </c>
      <c r="K340">
        <v>30.96</v>
      </c>
      <c r="L340">
        <v>650.26</v>
      </c>
      <c r="M340">
        <v>464.66</v>
      </c>
      <c r="N340">
        <v>185.6</v>
      </c>
      <c r="O340">
        <v>28.54</v>
      </c>
      <c r="P340" t="s">
        <v>24</v>
      </c>
      <c r="Q340">
        <v>8.1</v>
      </c>
      <c r="R340" t="str">
        <f t="shared" si="5"/>
        <v>June</v>
      </c>
    </row>
    <row r="341" spans="1:18" x14ac:dyDescent="0.3">
      <c r="A341" t="s">
        <v>661</v>
      </c>
      <c r="B341">
        <v>46185</v>
      </c>
      <c r="C341" t="s">
        <v>662</v>
      </c>
      <c r="D341" t="s">
        <v>41</v>
      </c>
      <c r="E341" t="s">
        <v>20</v>
      </c>
      <c r="F341" t="s">
        <v>33</v>
      </c>
      <c r="G341" t="s">
        <v>22</v>
      </c>
      <c r="H341" t="s">
        <v>99</v>
      </c>
      <c r="I341">
        <v>80.14</v>
      </c>
      <c r="J341">
        <v>5</v>
      </c>
      <c r="K341">
        <v>20.04</v>
      </c>
      <c r="L341">
        <v>420.74</v>
      </c>
      <c r="M341">
        <v>349.26</v>
      </c>
      <c r="N341">
        <v>71.48</v>
      </c>
      <c r="O341">
        <v>16.989999999999998</v>
      </c>
      <c r="P341" t="s">
        <v>38</v>
      </c>
      <c r="Q341">
        <v>5.8</v>
      </c>
      <c r="R341" t="str">
        <f t="shared" si="5"/>
        <v>June</v>
      </c>
    </row>
    <row r="342" spans="1:18" x14ac:dyDescent="0.3">
      <c r="A342" t="s">
        <v>663</v>
      </c>
      <c r="B342">
        <v>46186</v>
      </c>
      <c r="C342" t="s">
        <v>664</v>
      </c>
      <c r="D342" t="s">
        <v>51</v>
      </c>
      <c r="E342" t="s">
        <v>51</v>
      </c>
      <c r="F342" t="s">
        <v>21</v>
      </c>
      <c r="G342" t="s">
        <v>22</v>
      </c>
      <c r="H342" t="s">
        <v>34</v>
      </c>
      <c r="I342">
        <v>94.22</v>
      </c>
      <c r="J342">
        <v>5</v>
      </c>
      <c r="K342">
        <v>23.56</v>
      </c>
      <c r="L342">
        <v>494.66</v>
      </c>
      <c r="M342">
        <v>348.85</v>
      </c>
      <c r="N342">
        <v>145.81</v>
      </c>
      <c r="O342">
        <v>29.48</v>
      </c>
      <c r="P342" t="s">
        <v>24</v>
      </c>
      <c r="Q342">
        <v>6.7</v>
      </c>
      <c r="R342" t="str">
        <f t="shared" si="5"/>
        <v>June</v>
      </c>
    </row>
    <row r="343" spans="1:18" x14ac:dyDescent="0.3">
      <c r="A343" t="s">
        <v>665</v>
      </c>
      <c r="B343">
        <v>46187</v>
      </c>
      <c r="C343" t="s">
        <v>666</v>
      </c>
      <c r="D343" t="s">
        <v>59</v>
      </c>
      <c r="E343" t="s">
        <v>59</v>
      </c>
      <c r="F343" t="s">
        <v>33</v>
      </c>
      <c r="G343" t="s">
        <v>27</v>
      </c>
      <c r="H343" t="s">
        <v>99</v>
      </c>
      <c r="I343">
        <v>65.22</v>
      </c>
      <c r="J343">
        <v>1</v>
      </c>
      <c r="K343">
        <v>3.26</v>
      </c>
      <c r="L343">
        <v>68.48</v>
      </c>
      <c r="M343">
        <v>51.72</v>
      </c>
      <c r="N343">
        <v>16.760000000000002</v>
      </c>
      <c r="O343">
        <v>24.47</v>
      </c>
      <c r="P343" t="s">
        <v>29</v>
      </c>
      <c r="Q343">
        <v>7.9</v>
      </c>
      <c r="R343" t="str">
        <f t="shared" si="5"/>
        <v>June</v>
      </c>
    </row>
    <row r="344" spans="1:18" x14ac:dyDescent="0.3">
      <c r="A344" t="s">
        <v>667</v>
      </c>
      <c r="B344">
        <v>46187</v>
      </c>
      <c r="C344" t="s">
        <v>668</v>
      </c>
      <c r="D344" t="s">
        <v>51</v>
      </c>
      <c r="E344" t="s">
        <v>51</v>
      </c>
      <c r="F344" t="s">
        <v>33</v>
      </c>
      <c r="G344" t="s">
        <v>22</v>
      </c>
      <c r="H344" t="s">
        <v>45</v>
      </c>
      <c r="I344">
        <v>288.11</v>
      </c>
      <c r="J344">
        <v>5</v>
      </c>
      <c r="K344">
        <v>72.03</v>
      </c>
      <c r="L344">
        <v>1512.58</v>
      </c>
      <c r="M344">
        <v>1093.32</v>
      </c>
      <c r="N344">
        <v>419.26</v>
      </c>
      <c r="O344">
        <v>27.72</v>
      </c>
      <c r="P344" t="s">
        <v>38</v>
      </c>
      <c r="Q344">
        <v>6.5</v>
      </c>
      <c r="R344" t="str">
        <f t="shared" si="5"/>
        <v>June</v>
      </c>
    </row>
    <row r="345" spans="1:18" x14ac:dyDescent="0.3">
      <c r="A345" t="s">
        <v>669</v>
      </c>
      <c r="B345">
        <v>46188</v>
      </c>
      <c r="C345" t="s">
        <v>178</v>
      </c>
      <c r="D345" t="s">
        <v>51</v>
      </c>
      <c r="E345" t="s">
        <v>51</v>
      </c>
      <c r="F345" t="s">
        <v>33</v>
      </c>
      <c r="G345" t="s">
        <v>27</v>
      </c>
      <c r="H345" t="s">
        <v>72</v>
      </c>
      <c r="I345">
        <v>138.09</v>
      </c>
      <c r="J345">
        <v>4</v>
      </c>
      <c r="K345">
        <v>27.62</v>
      </c>
      <c r="L345">
        <v>579.98</v>
      </c>
      <c r="M345">
        <v>406.9</v>
      </c>
      <c r="N345">
        <v>173.08</v>
      </c>
      <c r="O345">
        <v>29.84</v>
      </c>
      <c r="P345" t="s">
        <v>46</v>
      </c>
      <c r="Q345">
        <v>7.4</v>
      </c>
      <c r="R345" t="str">
        <f t="shared" si="5"/>
        <v>June</v>
      </c>
    </row>
    <row r="346" spans="1:18" x14ac:dyDescent="0.3">
      <c r="A346" t="s">
        <v>670</v>
      </c>
      <c r="B346">
        <v>46189</v>
      </c>
      <c r="C346" t="s">
        <v>671</v>
      </c>
      <c r="D346" t="s">
        <v>19</v>
      </c>
      <c r="E346" t="s">
        <v>20</v>
      </c>
      <c r="F346" t="s">
        <v>21</v>
      </c>
      <c r="G346" t="s">
        <v>27</v>
      </c>
      <c r="H346" t="s">
        <v>42</v>
      </c>
      <c r="I346">
        <v>383.77</v>
      </c>
      <c r="J346">
        <v>8</v>
      </c>
      <c r="K346">
        <v>153.51</v>
      </c>
      <c r="L346">
        <v>3223.67</v>
      </c>
      <c r="M346">
        <v>2378.0100000000002</v>
      </c>
      <c r="N346">
        <v>845.66</v>
      </c>
      <c r="O346">
        <v>26.23</v>
      </c>
      <c r="P346" t="s">
        <v>38</v>
      </c>
      <c r="Q346">
        <v>6.4</v>
      </c>
      <c r="R346" t="str">
        <f t="shared" si="5"/>
        <v>June</v>
      </c>
    </row>
    <row r="347" spans="1:18" x14ac:dyDescent="0.3">
      <c r="A347" t="s">
        <v>672</v>
      </c>
      <c r="B347">
        <v>46189</v>
      </c>
      <c r="C347" t="s">
        <v>240</v>
      </c>
      <c r="D347" t="s">
        <v>51</v>
      </c>
      <c r="E347" t="s">
        <v>51</v>
      </c>
      <c r="F347" t="s">
        <v>33</v>
      </c>
      <c r="G347" t="s">
        <v>27</v>
      </c>
      <c r="H347" t="s">
        <v>72</v>
      </c>
      <c r="I347">
        <v>206.42</v>
      </c>
      <c r="J347">
        <v>2</v>
      </c>
      <c r="K347">
        <v>20.64</v>
      </c>
      <c r="L347">
        <v>433.48</v>
      </c>
      <c r="M347">
        <v>353.95</v>
      </c>
      <c r="N347">
        <v>79.53</v>
      </c>
      <c r="O347">
        <v>18.350000000000001</v>
      </c>
      <c r="P347" t="s">
        <v>35</v>
      </c>
      <c r="Q347">
        <v>7.2</v>
      </c>
      <c r="R347" t="str">
        <f t="shared" si="5"/>
        <v>June</v>
      </c>
    </row>
    <row r="348" spans="1:18" x14ac:dyDescent="0.3">
      <c r="A348" t="s">
        <v>673</v>
      </c>
      <c r="B348">
        <v>46190</v>
      </c>
      <c r="C348" t="s">
        <v>674</v>
      </c>
      <c r="D348" t="s">
        <v>51</v>
      </c>
      <c r="E348" t="s">
        <v>51</v>
      </c>
      <c r="F348" t="s">
        <v>21</v>
      </c>
      <c r="G348" t="s">
        <v>22</v>
      </c>
      <c r="H348" t="s">
        <v>34</v>
      </c>
      <c r="I348">
        <v>65.540000000000006</v>
      </c>
      <c r="J348">
        <v>2</v>
      </c>
      <c r="K348">
        <v>6.55</v>
      </c>
      <c r="L348">
        <v>137.63</v>
      </c>
      <c r="M348">
        <v>114.14</v>
      </c>
      <c r="N348">
        <v>23.49</v>
      </c>
      <c r="O348">
        <v>17.07</v>
      </c>
      <c r="P348" t="s">
        <v>24</v>
      </c>
      <c r="Q348">
        <v>7.6</v>
      </c>
      <c r="R348" t="str">
        <f t="shared" si="5"/>
        <v>June</v>
      </c>
    </row>
    <row r="349" spans="1:18" x14ac:dyDescent="0.3">
      <c r="A349" t="s">
        <v>675</v>
      </c>
      <c r="B349">
        <v>46190</v>
      </c>
      <c r="C349" t="s">
        <v>568</v>
      </c>
      <c r="D349" t="s">
        <v>19</v>
      </c>
      <c r="E349" t="s">
        <v>20</v>
      </c>
      <c r="F349" t="s">
        <v>33</v>
      </c>
      <c r="G349" t="s">
        <v>27</v>
      </c>
      <c r="H349" t="s">
        <v>45</v>
      </c>
      <c r="I349">
        <v>242.8</v>
      </c>
      <c r="J349">
        <v>9</v>
      </c>
      <c r="K349">
        <v>109.26</v>
      </c>
      <c r="L349">
        <v>2294.46</v>
      </c>
      <c r="M349">
        <v>1716.46</v>
      </c>
      <c r="N349">
        <v>578</v>
      </c>
      <c r="O349">
        <v>25.19</v>
      </c>
      <c r="P349" t="s">
        <v>46</v>
      </c>
      <c r="Q349">
        <v>9.1</v>
      </c>
      <c r="R349" t="str">
        <f t="shared" si="5"/>
        <v>June</v>
      </c>
    </row>
    <row r="350" spans="1:18" x14ac:dyDescent="0.3">
      <c r="A350" t="s">
        <v>676</v>
      </c>
      <c r="B350">
        <v>46190</v>
      </c>
      <c r="C350" t="s">
        <v>677</v>
      </c>
      <c r="D350" t="s">
        <v>59</v>
      </c>
      <c r="E350" t="s">
        <v>59</v>
      </c>
      <c r="F350" t="s">
        <v>33</v>
      </c>
      <c r="G350" t="s">
        <v>27</v>
      </c>
      <c r="H350" t="s">
        <v>72</v>
      </c>
      <c r="I350">
        <v>178.73</v>
      </c>
      <c r="J350">
        <v>10</v>
      </c>
      <c r="K350">
        <v>89.36</v>
      </c>
      <c r="L350">
        <v>1876.66</v>
      </c>
      <c r="M350">
        <v>1481.2</v>
      </c>
      <c r="N350">
        <v>395.46</v>
      </c>
      <c r="O350">
        <v>21.07</v>
      </c>
      <c r="P350" t="s">
        <v>46</v>
      </c>
      <c r="Q350">
        <v>7.3</v>
      </c>
      <c r="R350" t="str">
        <f t="shared" si="5"/>
        <v>June</v>
      </c>
    </row>
    <row r="351" spans="1:18" x14ac:dyDescent="0.3">
      <c r="A351" t="s">
        <v>678</v>
      </c>
      <c r="B351">
        <v>46190</v>
      </c>
      <c r="C351" t="s">
        <v>679</v>
      </c>
      <c r="D351" t="s">
        <v>41</v>
      </c>
      <c r="E351" t="s">
        <v>20</v>
      </c>
      <c r="F351" t="s">
        <v>33</v>
      </c>
      <c r="G351" t="s">
        <v>27</v>
      </c>
      <c r="H351" t="s">
        <v>52</v>
      </c>
      <c r="I351">
        <v>66.42</v>
      </c>
      <c r="J351">
        <v>3</v>
      </c>
      <c r="K351">
        <v>9.9600000000000009</v>
      </c>
      <c r="L351">
        <v>209.22</v>
      </c>
      <c r="M351">
        <v>149</v>
      </c>
      <c r="N351">
        <v>60.22</v>
      </c>
      <c r="O351">
        <v>28.78</v>
      </c>
      <c r="P351" t="s">
        <v>46</v>
      </c>
      <c r="Q351">
        <v>7.2</v>
      </c>
      <c r="R351" t="str">
        <f t="shared" si="5"/>
        <v>June</v>
      </c>
    </row>
    <row r="352" spans="1:18" x14ac:dyDescent="0.3">
      <c r="A352" t="s">
        <v>680</v>
      </c>
      <c r="B352">
        <v>46191</v>
      </c>
      <c r="C352" t="s">
        <v>681</v>
      </c>
      <c r="D352" t="s">
        <v>19</v>
      </c>
      <c r="E352" t="s">
        <v>20</v>
      </c>
      <c r="F352" t="s">
        <v>33</v>
      </c>
      <c r="G352" t="s">
        <v>27</v>
      </c>
      <c r="H352" t="s">
        <v>28</v>
      </c>
      <c r="I352">
        <v>206.35</v>
      </c>
      <c r="J352">
        <v>6</v>
      </c>
      <c r="K352">
        <v>61.9</v>
      </c>
      <c r="L352">
        <v>1300</v>
      </c>
      <c r="M352">
        <v>987.38</v>
      </c>
      <c r="N352">
        <v>312.62</v>
      </c>
      <c r="O352">
        <v>24.05</v>
      </c>
      <c r="P352" t="s">
        <v>46</v>
      </c>
      <c r="Q352">
        <v>6.4</v>
      </c>
      <c r="R352" t="str">
        <f t="shared" si="5"/>
        <v>June</v>
      </c>
    </row>
    <row r="353" spans="1:18" x14ac:dyDescent="0.3">
      <c r="A353" t="s">
        <v>682</v>
      </c>
      <c r="B353">
        <v>46191</v>
      </c>
      <c r="C353" t="s">
        <v>683</v>
      </c>
      <c r="D353" t="s">
        <v>51</v>
      </c>
      <c r="E353" t="s">
        <v>51</v>
      </c>
      <c r="F353" t="s">
        <v>33</v>
      </c>
      <c r="G353" t="s">
        <v>22</v>
      </c>
      <c r="H353" t="s">
        <v>99</v>
      </c>
      <c r="I353">
        <v>102.29</v>
      </c>
      <c r="J353">
        <v>6</v>
      </c>
      <c r="K353">
        <v>30.69</v>
      </c>
      <c r="L353">
        <v>644.42999999999995</v>
      </c>
      <c r="M353">
        <v>512.28</v>
      </c>
      <c r="N353">
        <v>132.15</v>
      </c>
      <c r="O353">
        <v>20.51</v>
      </c>
      <c r="P353" t="s">
        <v>46</v>
      </c>
      <c r="Q353">
        <v>6.2</v>
      </c>
      <c r="R353" t="str">
        <f t="shared" si="5"/>
        <v>June</v>
      </c>
    </row>
    <row r="354" spans="1:18" x14ac:dyDescent="0.3">
      <c r="A354" t="s">
        <v>684</v>
      </c>
      <c r="B354">
        <v>46191</v>
      </c>
      <c r="C354" t="s">
        <v>578</v>
      </c>
      <c r="D354" t="s">
        <v>59</v>
      </c>
      <c r="E354" t="s">
        <v>59</v>
      </c>
      <c r="F354" t="s">
        <v>21</v>
      </c>
      <c r="G354" t="s">
        <v>22</v>
      </c>
      <c r="H354" t="s">
        <v>45</v>
      </c>
      <c r="I354">
        <v>172.12</v>
      </c>
      <c r="J354">
        <v>6</v>
      </c>
      <c r="K354">
        <v>51.64</v>
      </c>
      <c r="L354">
        <v>1084.3599999999999</v>
      </c>
      <c r="M354">
        <v>854.27</v>
      </c>
      <c r="N354">
        <v>230.09</v>
      </c>
      <c r="O354">
        <v>21.22</v>
      </c>
      <c r="P354" t="s">
        <v>35</v>
      </c>
      <c r="Q354">
        <v>8.3000000000000007</v>
      </c>
      <c r="R354" t="str">
        <f t="shared" si="5"/>
        <v>June</v>
      </c>
    </row>
    <row r="355" spans="1:18" x14ac:dyDescent="0.3">
      <c r="A355" t="s">
        <v>685</v>
      </c>
      <c r="B355">
        <v>46192</v>
      </c>
      <c r="C355" t="s">
        <v>583</v>
      </c>
      <c r="D355" t="s">
        <v>32</v>
      </c>
      <c r="E355" t="s">
        <v>32</v>
      </c>
      <c r="F355" t="s">
        <v>33</v>
      </c>
      <c r="G355" t="s">
        <v>22</v>
      </c>
      <c r="H355" t="s">
        <v>23</v>
      </c>
      <c r="I355">
        <v>155.55000000000001</v>
      </c>
      <c r="J355">
        <v>5</v>
      </c>
      <c r="K355">
        <v>38.89</v>
      </c>
      <c r="L355">
        <v>816.64</v>
      </c>
      <c r="M355">
        <v>604.57000000000005</v>
      </c>
      <c r="N355">
        <v>212.07</v>
      </c>
      <c r="O355">
        <v>25.97</v>
      </c>
      <c r="P355" t="s">
        <v>35</v>
      </c>
      <c r="Q355">
        <v>8.5</v>
      </c>
      <c r="R355" t="str">
        <f t="shared" si="5"/>
        <v>June</v>
      </c>
    </row>
    <row r="356" spans="1:18" x14ac:dyDescent="0.3">
      <c r="A356" t="s">
        <v>686</v>
      </c>
      <c r="B356">
        <v>46192</v>
      </c>
      <c r="C356" t="s">
        <v>250</v>
      </c>
      <c r="D356" t="s">
        <v>59</v>
      </c>
      <c r="E356" t="s">
        <v>59</v>
      </c>
      <c r="F356" t="s">
        <v>33</v>
      </c>
      <c r="G356" t="s">
        <v>22</v>
      </c>
      <c r="H356" t="s">
        <v>34</v>
      </c>
      <c r="I356">
        <v>89.68</v>
      </c>
      <c r="J356">
        <v>10</v>
      </c>
      <c r="K356">
        <v>44.84</v>
      </c>
      <c r="L356">
        <v>941.64</v>
      </c>
      <c r="M356">
        <v>770.72</v>
      </c>
      <c r="N356">
        <v>170.92</v>
      </c>
      <c r="O356">
        <v>18.149999999999999</v>
      </c>
      <c r="P356" t="s">
        <v>35</v>
      </c>
      <c r="Q356">
        <v>8</v>
      </c>
      <c r="R356" t="str">
        <f t="shared" si="5"/>
        <v>June</v>
      </c>
    </row>
    <row r="357" spans="1:18" x14ac:dyDescent="0.3">
      <c r="A357" t="s">
        <v>687</v>
      </c>
      <c r="B357">
        <v>46192</v>
      </c>
      <c r="C357" t="s">
        <v>48</v>
      </c>
      <c r="D357" t="s">
        <v>41</v>
      </c>
      <c r="E357" t="s">
        <v>20</v>
      </c>
      <c r="F357" t="s">
        <v>21</v>
      </c>
      <c r="G357" t="s">
        <v>27</v>
      </c>
      <c r="H357" t="s">
        <v>28</v>
      </c>
      <c r="I357">
        <v>94.76</v>
      </c>
      <c r="J357">
        <v>1</v>
      </c>
      <c r="K357">
        <v>4.74</v>
      </c>
      <c r="L357">
        <v>99.5</v>
      </c>
      <c r="M357">
        <v>82.41</v>
      </c>
      <c r="N357">
        <v>17.09</v>
      </c>
      <c r="O357">
        <v>17.18</v>
      </c>
      <c r="P357" t="s">
        <v>35</v>
      </c>
      <c r="Q357">
        <v>7.9</v>
      </c>
      <c r="R357" t="str">
        <f t="shared" si="5"/>
        <v>June</v>
      </c>
    </row>
    <row r="358" spans="1:18" x14ac:dyDescent="0.3">
      <c r="A358" t="s">
        <v>688</v>
      </c>
      <c r="B358">
        <v>46193</v>
      </c>
      <c r="C358" t="s">
        <v>131</v>
      </c>
      <c r="D358" t="s">
        <v>41</v>
      </c>
      <c r="E358" t="s">
        <v>20</v>
      </c>
      <c r="F358" t="s">
        <v>21</v>
      </c>
      <c r="G358" t="s">
        <v>22</v>
      </c>
      <c r="H358" t="s">
        <v>34</v>
      </c>
      <c r="I358">
        <v>91.94</v>
      </c>
      <c r="J358">
        <v>6</v>
      </c>
      <c r="K358">
        <v>27.58</v>
      </c>
      <c r="L358">
        <v>579.22</v>
      </c>
      <c r="M358">
        <v>419.27</v>
      </c>
      <c r="N358">
        <v>159.94999999999999</v>
      </c>
      <c r="O358">
        <v>27.61</v>
      </c>
      <c r="P358" t="s">
        <v>46</v>
      </c>
      <c r="Q358">
        <v>9.5</v>
      </c>
      <c r="R358" t="str">
        <f t="shared" si="5"/>
        <v>June</v>
      </c>
    </row>
    <row r="359" spans="1:18" x14ac:dyDescent="0.3">
      <c r="A359" t="s">
        <v>689</v>
      </c>
      <c r="B359">
        <v>46193</v>
      </c>
      <c r="C359" t="s">
        <v>690</v>
      </c>
      <c r="D359" t="s">
        <v>51</v>
      </c>
      <c r="E359" t="s">
        <v>51</v>
      </c>
      <c r="F359" t="s">
        <v>21</v>
      </c>
      <c r="G359" t="s">
        <v>27</v>
      </c>
      <c r="H359" t="s">
        <v>45</v>
      </c>
      <c r="I359">
        <v>239.41</v>
      </c>
      <c r="J359">
        <v>1</v>
      </c>
      <c r="K359">
        <v>11.97</v>
      </c>
      <c r="L359">
        <v>251.38</v>
      </c>
      <c r="M359">
        <v>196.85</v>
      </c>
      <c r="N359">
        <v>54.53</v>
      </c>
      <c r="O359">
        <v>21.69</v>
      </c>
      <c r="P359" t="s">
        <v>38</v>
      </c>
      <c r="Q359">
        <v>5.3</v>
      </c>
      <c r="R359" t="str">
        <f t="shared" si="5"/>
        <v>June</v>
      </c>
    </row>
    <row r="360" spans="1:18" x14ac:dyDescent="0.3">
      <c r="A360" t="s">
        <v>691</v>
      </c>
      <c r="B360">
        <v>46193</v>
      </c>
      <c r="C360" t="s">
        <v>481</v>
      </c>
      <c r="D360" t="s">
        <v>59</v>
      </c>
      <c r="E360" t="s">
        <v>59</v>
      </c>
      <c r="F360" t="s">
        <v>21</v>
      </c>
      <c r="G360" t="s">
        <v>27</v>
      </c>
      <c r="H360" t="s">
        <v>45</v>
      </c>
      <c r="I360">
        <v>157.47</v>
      </c>
      <c r="J360">
        <v>8</v>
      </c>
      <c r="K360">
        <v>62.99</v>
      </c>
      <c r="L360">
        <v>1322.75</v>
      </c>
      <c r="M360">
        <v>986.85</v>
      </c>
      <c r="N360">
        <v>335.9</v>
      </c>
      <c r="O360">
        <v>25.39</v>
      </c>
      <c r="P360" t="s">
        <v>38</v>
      </c>
      <c r="Q360">
        <v>7.3</v>
      </c>
      <c r="R360" t="str">
        <f t="shared" si="5"/>
        <v>June</v>
      </c>
    </row>
    <row r="361" spans="1:18" x14ac:dyDescent="0.3">
      <c r="A361" t="s">
        <v>692</v>
      </c>
      <c r="B361">
        <v>46193</v>
      </c>
      <c r="C361" t="s">
        <v>120</v>
      </c>
      <c r="D361" t="s">
        <v>41</v>
      </c>
      <c r="E361" t="s">
        <v>20</v>
      </c>
      <c r="F361" t="s">
        <v>33</v>
      </c>
      <c r="G361" t="s">
        <v>22</v>
      </c>
      <c r="H361" t="s">
        <v>34</v>
      </c>
      <c r="I361">
        <v>94.62</v>
      </c>
      <c r="J361">
        <v>10</v>
      </c>
      <c r="K361">
        <v>47.31</v>
      </c>
      <c r="L361">
        <v>993.51</v>
      </c>
      <c r="M361">
        <v>802.64</v>
      </c>
      <c r="N361">
        <v>190.87</v>
      </c>
      <c r="O361">
        <v>19.21</v>
      </c>
      <c r="P361" t="s">
        <v>38</v>
      </c>
      <c r="Q361">
        <v>6.4</v>
      </c>
      <c r="R361" t="str">
        <f t="shared" si="5"/>
        <v>June</v>
      </c>
    </row>
    <row r="362" spans="1:18" x14ac:dyDescent="0.3">
      <c r="A362" t="s">
        <v>693</v>
      </c>
      <c r="B362">
        <v>46193</v>
      </c>
      <c r="C362" t="s">
        <v>223</v>
      </c>
      <c r="D362" t="s">
        <v>41</v>
      </c>
      <c r="E362" t="s">
        <v>20</v>
      </c>
      <c r="F362" t="s">
        <v>33</v>
      </c>
      <c r="G362" t="s">
        <v>27</v>
      </c>
      <c r="H362" t="s">
        <v>99</v>
      </c>
      <c r="I362">
        <v>123.18</v>
      </c>
      <c r="J362">
        <v>1</v>
      </c>
      <c r="K362">
        <v>6.16</v>
      </c>
      <c r="L362">
        <v>129.34</v>
      </c>
      <c r="M362">
        <v>96.63</v>
      </c>
      <c r="N362">
        <v>32.71</v>
      </c>
      <c r="O362">
        <v>25.29</v>
      </c>
      <c r="P362" t="s">
        <v>46</v>
      </c>
      <c r="Q362">
        <v>6.8</v>
      </c>
      <c r="R362" t="str">
        <f t="shared" si="5"/>
        <v>June</v>
      </c>
    </row>
    <row r="363" spans="1:18" x14ac:dyDescent="0.3">
      <c r="A363" t="s">
        <v>694</v>
      </c>
      <c r="B363">
        <v>46193</v>
      </c>
      <c r="C363" t="s">
        <v>695</v>
      </c>
      <c r="D363" t="s">
        <v>59</v>
      </c>
      <c r="E363" t="s">
        <v>59</v>
      </c>
      <c r="F363" t="s">
        <v>33</v>
      </c>
      <c r="G363" t="s">
        <v>22</v>
      </c>
      <c r="H363" t="s">
        <v>99</v>
      </c>
      <c r="I363">
        <v>115.48</v>
      </c>
      <c r="J363">
        <v>3</v>
      </c>
      <c r="K363">
        <v>17.32</v>
      </c>
      <c r="L363">
        <v>363.76</v>
      </c>
      <c r="M363">
        <v>265.92</v>
      </c>
      <c r="N363">
        <v>97.84</v>
      </c>
      <c r="O363">
        <v>26.9</v>
      </c>
      <c r="P363" t="s">
        <v>46</v>
      </c>
      <c r="Q363">
        <v>7.1</v>
      </c>
      <c r="R363" t="str">
        <f t="shared" si="5"/>
        <v>June</v>
      </c>
    </row>
    <row r="364" spans="1:18" x14ac:dyDescent="0.3">
      <c r="A364" t="s">
        <v>696</v>
      </c>
      <c r="B364">
        <v>46194</v>
      </c>
      <c r="C364" t="s">
        <v>697</v>
      </c>
      <c r="D364" t="s">
        <v>41</v>
      </c>
      <c r="E364" t="s">
        <v>20</v>
      </c>
      <c r="F364" t="s">
        <v>33</v>
      </c>
      <c r="G364" t="s">
        <v>27</v>
      </c>
      <c r="H364" t="s">
        <v>45</v>
      </c>
      <c r="I364">
        <v>197.3</v>
      </c>
      <c r="J364">
        <v>2</v>
      </c>
      <c r="K364">
        <v>19.73</v>
      </c>
      <c r="L364">
        <v>414.33</v>
      </c>
      <c r="M364">
        <v>316.83999999999997</v>
      </c>
      <c r="N364">
        <v>97.49</v>
      </c>
      <c r="O364">
        <v>23.53</v>
      </c>
      <c r="P364" t="s">
        <v>46</v>
      </c>
      <c r="Q364">
        <v>6</v>
      </c>
      <c r="R364" t="str">
        <f t="shared" si="5"/>
        <v>June</v>
      </c>
    </row>
    <row r="365" spans="1:18" x14ac:dyDescent="0.3">
      <c r="A365" t="s">
        <v>698</v>
      </c>
      <c r="B365">
        <v>46194</v>
      </c>
      <c r="C365" t="s">
        <v>412</v>
      </c>
      <c r="D365" t="s">
        <v>19</v>
      </c>
      <c r="E365" t="s">
        <v>20</v>
      </c>
      <c r="F365" t="s">
        <v>21</v>
      </c>
      <c r="G365" t="s">
        <v>27</v>
      </c>
      <c r="H365" t="s">
        <v>99</v>
      </c>
      <c r="I365">
        <v>112.9</v>
      </c>
      <c r="J365">
        <v>4</v>
      </c>
      <c r="K365">
        <v>22.58</v>
      </c>
      <c r="L365">
        <v>474.18</v>
      </c>
      <c r="M365">
        <v>385.81</v>
      </c>
      <c r="N365">
        <v>88.37</v>
      </c>
      <c r="O365">
        <v>18.64</v>
      </c>
      <c r="P365" t="s">
        <v>29</v>
      </c>
      <c r="Q365">
        <v>8.5</v>
      </c>
      <c r="R365" t="str">
        <f t="shared" si="5"/>
        <v>June</v>
      </c>
    </row>
    <row r="366" spans="1:18" x14ac:dyDescent="0.3">
      <c r="A366" t="s">
        <v>699</v>
      </c>
      <c r="B366">
        <v>46194</v>
      </c>
      <c r="C366" t="s">
        <v>252</v>
      </c>
      <c r="D366" t="s">
        <v>19</v>
      </c>
      <c r="E366" t="s">
        <v>20</v>
      </c>
      <c r="F366" t="s">
        <v>21</v>
      </c>
      <c r="G366" t="s">
        <v>27</v>
      </c>
      <c r="H366" t="s">
        <v>42</v>
      </c>
      <c r="I366">
        <v>321.68</v>
      </c>
      <c r="J366">
        <v>6</v>
      </c>
      <c r="K366">
        <v>96.5</v>
      </c>
      <c r="L366">
        <v>2026.58</v>
      </c>
      <c r="M366">
        <v>1485.23</v>
      </c>
      <c r="N366">
        <v>541.35</v>
      </c>
      <c r="O366">
        <v>26.71</v>
      </c>
      <c r="P366" t="s">
        <v>29</v>
      </c>
      <c r="Q366">
        <v>7</v>
      </c>
      <c r="R366" t="str">
        <f t="shared" si="5"/>
        <v>June</v>
      </c>
    </row>
    <row r="367" spans="1:18" x14ac:dyDescent="0.3">
      <c r="A367" t="s">
        <v>700</v>
      </c>
      <c r="B367">
        <v>46194</v>
      </c>
      <c r="C367" t="s">
        <v>701</v>
      </c>
      <c r="D367" t="s">
        <v>19</v>
      </c>
      <c r="E367" t="s">
        <v>20</v>
      </c>
      <c r="F367" t="s">
        <v>33</v>
      </c>
      <c r="G367" t="s">
        <v>22</v>
      </c>
      <c r="H367" t="s">
        <v>99</v>
      </c>
      <c r="I367">
        <v>92.72</v>
      </c>
      <c r="J367">
        <v>1</v>
      </c>
      <c r="K367">
        <v>4.6399999999999997</v>
      </c>
      <c r="L367">
        <v>97.36</v>
      </c>
      <c r="M367">
        <v>79.400000000000006</v>
      </c>
      <c r="N367">
        <v>17.96</v>
      </c>
      <c r="O367">
        <v>18.45</v>
      </c>
      <c r="P367" t="s">
        <v>29</v>
      </c>
      <c r="Q367">
        <v>7.3</v>
      </c>
      <c r="R367" t="str">
        <f t="shared" si="5"/>
        <v>June</v>
      </c>
    </row>
    <row r="368" spans="1:18" x14ac:dyDescent="0.3">
      <c r="A368" t="s">
        <v>702</v>
      </c>
      <c r="B368">
        <v>46194</v>
      </c>
      <c r="C368" t="s">
        <v>703</v>
      </c>
      <c r="D368" t="s">
        <v>51</v>
      </c>
      <c r="E368" t="s">
        <v>51</v>
      </c>
      <c r="F368" t="s">
        <v>21</v>
      </c>
      <c r="G368" t="s">
        <v>27</v>
      </c>
      <c r="H368" t="s">
        <v>45</v>
      </c>
      <c r="I368">
        <v>298.47000000000003</v>
      </c>
      <c r="J368">
        <v>9</v>
      </c>
      <c r="K368">
        <v>134.31</v>
      </c>
      <c r="L368">
        <v>2820.54</v>
      </c>
      <c r="M368">
        <v>2028.34</v>
      </c>
      <c r="N368">
        <v>792.2</v>
      </c>
      <c r="O368">
        <v>28.09</v>
      </c>
      <c r="P368" t="s">
        <v>29</v>
      </c>
      <c r="Q368">
        <v>7.1</v>
      </c>
      <c r="R368" t="str">
        <f t="shared" si="5"/>
        <v>June</v>
      </c>
    </row>
    <row r="369" spans="1:18" x14ac:dyDescent="0.3">
      <c r="A369" t="s">
        <v>704</v>
      </c>
      <c r="B369">
        <v>46195</v>
      </c>
      <c r="C369" t="s">
        <v>705</v>
      </c>
      <c r="D369" t="s">
        <v>51</v>
      </c>
      <c r="E369" t="s">
        <v>51</v>
      </c>
      <c r="F369" t="s">
        <v>33</v>
      </c>
      <c r="G369" t="s">
        <v>27</v>
      </c>
      <c r="H369" t="s">
        <v>28</v>
      </c>
      <c r="I369">
        <v>197.5</v>
      </c>
      <c r="J369">
        <v>10</v>
      </c>
      <c r="K369">
        <v>98.75</v>
      </c>
      <c r="L369">
        <v>2073.75</v>
      </c>
      <c r="M369">
        <v>1387.25</v>
      </c>
      <c r="N369">
        <v>686.5</v>
      </c>
      <c r="O369">
        <v>33.1</v>
      </c>
      <c r="P369" t="s">
        <v>35</v>
      </c>
      <c r="Q369">
        <v>7.9</v>
      </c>
      <c r="R369" t="str">
        <f t="shared" si="5"/>
        <v>June</v>
      </c>
    </row>
    <row r="370" spans="1:18" x14ac:dyDescent="0.3">
      <c r="A370" t="s">
        <v>706</v>
      </c>
      <c r="B370">
        <v>46195</v>
      </c>
      <c r="C370" t="s">
        <v>229</v>
      </c>
      <c r="D370" t="s">
        <v>51</v>
      </c>
      <c r="E370" t="s">
        <v>51</v>
      </c>
      <c r="F370" t="s">
        <v>21</v>
      </c>
      <c r="G370" t="s">
        <v>22</v>
      </c>
      <c r="H370" t="s">
        <v>42</v>
      </c>
      <c r="I370">
        <v>384.06</v>
      </c>
      <c r="J370">
        <v>6</v>
      </c>
      <c r="K370">
        <v>115.22</v>
      </c>
      <c r="L370">
        <v>2419.58</v>
      </c>
      <c r="M370">
        <v>1849.96</v>
      </c>
      <c r="N370">
        <v>569.62</v>
      </c>
      <c r="O370">
        <v>23.54</v>
      </c>
      <c r="P370" t="s">
        <v>46</v>
      </c>
      <c r="Q370">
        <v>6.9</v>
      </c>
      <c r="R370" t="str">
        <f t="shared" si="5"/>
        <v>June</v>
      </c>
    </row>
    <row r="371" spans="1:18" x14ac:dyDescent="0.3">
      <c r="A371" t="s">
        <v>707</v>
      </c>
      <c r="B371">
        <v>46195</v>
      </c>
      <c r="C371" t="s">
        <v>708</v>
      </c>
      <c r="D371" t="s">
        <v>41</v>
      </c>
      <c r="E371" t="s">
        <v>20</v>
      </c>
      <c r="F371" t="s">
        <v>33</v>
      </c>
      <c r="G371" t="s">
        <v>27</v>
      </c>
      <c r="H371" t="s">
        <v>28</v>
      </c>
      <c r="I371">
        <v>189.66</v>
      </c>
      <c r="J371">
        <v>5</v>
      </c>
      <c r="K371">
        <v>47.42</v>
      </c>
      <c r="L371">
        <v>995.72</v>
      </c>
      <c r="M371">
        <v>763.58</v>
      </c>
      <c r="N371">
        <v>232.14</v>
      </c>
      <c r="O371">
        <v>23.31</v>
      </c>
      <c r="P371" t="s">
        <v>38</v>
      </c>
      <c r="Q371">
        <v>9.1</v>
      </c>
      <c r="R371" t="str">
        <f t="shared" si="5"/>
        <v>June</v>
      </c>
    </row>
    <row r="372" spans="1:18" x14ac:dyDescent="0.3">
      <c r="A372" t="s">
        <v>709</v>
      </c>
      <c r="B372">
        <v>46195</v>
      </c>
      <c r="C372" t="s">
        <v>710</v>
      </c>
      <c r="D372" t="s">
        <v>51</v>
      </c>
      <c r="E372" t="s">
        <v>51</v>
      </c>
      <c r="F372" t="s">
        <v>33</v>
      </c>
      <c r="G372" t="s">
        <v>22</v>
      </c>
      <c r="H372" t="s">
        <v>23</v>
      </c>
      <c r="I372">
        <v>128.84</v>
      </c>
      <c r="J372">
        <v>2</v>
      </c>
      <c r="K372">
        <v>12.88</v>
      </c>
      <c r="L372">
        <v>270.56</v>
      </c>
      <c r="M372">
        <v>220.98</v>
      </c>
      <c r="N372">
        <v>49.58</v>
      </c>
      <c r="O372">
        <v>18.32</v>
      </c>
      <c r="P372" t="s">
        <v>46</v>
      </c>
      <c r="Q372">
        <v>7.4</v>
      </c>
      <c r="R372" t="str">
        <f t="shared" si="5"/>
        <v>June</v>
      </c>
    </row>
    <row r="373" spans="1:18" x14ac:dyDescent="0.3">
      <c r="A373" t="s">
        <v>711</v>
      </c>
      <c r="B373">
        <v>46195</v>
      </c>
      <c r="C373" t="s">
        <v>712</v>
      </c>
      <c r="D373" t="s">
        <v>19</v>
      </c>
      <c r="E373" t="s">
        <v>20</v>
      </c>
      <c r="F373" t="s">
        <v>21</v>
      </c>
      <c r="G373" t="s">
        <v>27</v>
      </c>
      <c r="H373" t="s">
        <v>99</v>
      </c>
      <c r="I373">
        <v>92.48</v>
      </c>
      <c r="J373">
        <v>4</v>
      </c>
      <c r="K373">
        <v>18.5</v>
      </c>
      <c r="L373">
        <v>388.42</v>
      </c>
      <c r="M373">
        <v>296.2</v>
      </c>
      <c r="N373">
        <v>92.22</v>
      </c>
      <c r="O373">
        <v>23.74</v>
      </c>
      <c r="P373" t="s">
        <v>29</v>
      </c>
      <c r="Q373">
        <v>7.6</v>
      </c>
      <c r="R373" t="str">
        <f t="shared" si="5"/>
        <v>June</v>
      </c>
    </row>
    <row r="374" spans="1:18" x14ac:dyDescent="0.3">
      <c r="A374" t="s">
        <v>713</v>
      </c>
      <c r="B374">
        <v>46196</v>
      </c>
      <c r="C374" t="s">
        <v>714</v>
      </c>
      <c r="D374" t="s">
        <v>19</v>
      </c>
      <c r="E374" t="s">
        <v>20</v>
      </c>
      <c r="F374" t="s">
        <v>21</v>
      </c>
      <c r="G374" t="s">
        <v>22</v>
      </c>
      <c r="H374" t="s">
        <v>45</v>
      </c>
      <c r="I374">
        <v>192.17</v>
      </c>
      <c r="J374">
        <v>9</v>
      </c>
      <c r="K374">
        <v>86.48</v>
      </c>
      <c r="L374">
        <v>1816.01</v>
      </c>
      <c r="M374">
        <v>1434.99</v>
      </c>
      <c r="N374">
        <v>381.02</v>
      </c>
      <c r="O374">
        <v>20.98</v>
      </c>
      <c r="P374" t="s">
        <v>29</v>
      </c>
      <c r="Q374">
        <v>6.6</v>
      </c>
      <c r="R374" t="str">
        <f t="shared" si="5"/>
        <v>June</v>
      </c>
    </row>
    <row r="375" spans="1:18" x14ac:dyDescent="0.3">
      <c r="A375" t="s">
        <v>715</v>
      </c>
      <c r="B375">
        <v>46197</v>
      </c>
      <c r="C375" t="s">
        <v>488</v>
      </c>
      <c r="D375" t="s">
        <v>19</v>
      </c>
      <c r="E375" t="s">
        <v>20</v>
      </c>
      <c r="F375" t="s">
        <v>33</v>
      </c>
      <c r="G375" t="s">
        <v>27</v>
      </c>
      <c r="H375" t="s">
        <v>45</v>
      </c>
      <c r="I375">
        <v>275.39</v>
      </c>
      <c r="J375">
        <v>9</v>
      </c>
      <c r="K375">
        <v>123.93</v>
      </c>
      <c r="L375">
        <v>2602.44</v>
      </c>
      <c r="M375">
        <v>1994.17</v>
      </c>
      <c r="N375">
        <v>608.27</v>
      </c>
      <c r="O375">
        <v>23.37</v>
      </c>
      <c r="P375" t="s">
        <v>29</v>
      </c>
      <c r="Q375">
        <v>5.3</v>
      </c>
      <c r="R375" t="str">
        <f t="shared" si="5"/>
        <v>June</v>
      </c>
    </row>
    <row r="376" spans="1:18" x14ac:dyDescent="0.3">
      <c r="A376" t="s">
        <v>716</v>
      </c>
      <c r="B376">
        <v>46197</v>
      </c>
      <c r="C376" t="s">
        <v>717</v>
      </c>
      <c r="D376" t="s">
        <v>51</v>
      </c>
      <c r="E376" t="s">
        <v>51</v>
      </c>
      <c r="F376" t="s">
        <v>21</v>
      </c>
      <c r="G376" t="s">
        <v>27</v>
      </c>
      <c r="H376" t="s">
        <v>99</v>
      </c>
      <c r="I376">
        <v>124.71</v>
      </c>
      <c r="J376">
        <v>4</v>
      </c>
      <c r="K376">
        <v>24.94</v>
      </c>
      <c r="L376">
        <v>523.78</v>
      </c>
      <c r="M376">
        <v>412.59</v>
      </c>
      <c r="N376">
        <v>111.19</v>
      </c>
      <c r="O376">
        <v>21.23</v>
      </c>
      <c r="P376" t="s">
        <v>29</v>
      </c>
      <c r="Q376">
        <v>6.1</v>
      </c>
      <c r="R376" t="str">
        <f t="shared" si="5"/>
        <v>June</v>
      </c>
    </row>
    <row r="377" spans="1:18" x14ac:dyDescent="0.3">
      <c r="A377" t="s">
        <v>718</v>
      </c>
      <c r="B377">
        <v>46198</v>
      </c>
      <c r="C377" t="s">
        <v>719</v>
      </c>
      <c r="D377" t="s">
        <v>41</v>
      </c>
      <c r="E377" t="s">
        <v>20</v>
      </c>
      <c r="F377" t="s">
        <v>33</v>
      </c>
      <c r="G377" t="s">
        <v>27</v>
      </c>
      <c r="H377" t="s">
        <v>28</v>
      </c>
      <c r="I377">
        <v>117</v>
      </c>
      <c r="J377">
        <v>3</v>
      </c>
      <c r="K377">
        <v>17.55</v>
      </c>
      <c r="L377">
        <v>368.55</v>
      </c>
      <c r="M377">
        <v>273.89</v>
      </c>
      <c r="N377">
        <v>94.66</v>
      </c>
      <c r="O377">
        <v>25.68</v>
      </c>
      <c r="P377" t="s">
        <v>35</v>
      </c>
      <c r="Q377">
        <v>7.4</v>
      </c>
      <c r="R377" t="str">
        <f t="shared" si="5"/>
        <v>June</v>
      </c>
    </row>
    <row r="378" spans="1:18" x14ac:dyDescent="0.3">
      <c r="A378" t="s">
        <v>720</v>
      </c>
      <c r="B378">
        <v>46198</v>
      </c>
      <c r="C378" t="s">
        <v>609</v>
      </c>
      <c r="D378" t="s">
        <v>32</v>
      </c>
      <c r="E378" t="s">
        <v>32</v>
      </c>
      <c r="F378" t="s">
        <v>33</v>
      </c>
      <c r="G378" t="s">
        <v>22</v>
      </c>
      <c r="H378" t="s">
        <v>99</v>
      </c>
      <c r="I378">
        <v>132.16</v>
      </c>
      <c r="J378">
        <v>9</v>
      </c>
      <c r="K378">
        <v>59.47</v>
      </c>
      <c r="L378">
        <v>1248.9100000000001</v>
      </c>
      <c r="M378">
        <v>976.97</v>
      </c>
      <c r="N378">
        <v>271.94</v>
      </c>
      <c r="O378">
        <v>21.77</v>
      </c>
      <c r="P378" t="s">
        <v>35</v>
      </c>
      <c r="Q378">
        <v>5.0999999999999996</v>
      </c>
      <c r="R378" t="str">
        <f t="shared" si="5"/>
        <v>June</v>
      </c>
    </row>
    <row r="379" spans="1:18" x14ac:dyDescent="0.3">
      <c r="A379" t="s">
        <v>721</v>
      </c>
      <c r="B379">
        <v>46198</v>
      </c>
      <c r="C379" t="s">
        <v>722</v>
      </c>
      <c r="D379" t="s">
        <v>59</v>
      </c>
      <c r="E379" t="s">
        <v>59</v>
      </c>
      <c r="F379" t="s">
        <v>33</v>
      </c>
      <c r="G379" t="s">
        <v>22</v>
      </c>
      <c r="H379" t="s">
        <v>45</v>
      </c>
      <c r="I379">
        <v>248.45</v>
      </c>
      <c r="J379">
        <v>10</v>
      </c>
      <c r="K379">
        <v>124.22</v>
      </c>
      <c r="L379">
        <v>2608.7199999999998</v>
      </c>
      <c r="M379">
        <v>1976.12</v>
      </c>
      <c r="N379">
        <v>632.6</v>
      </c>
      <c r="O379">
        <v>24.25</v>
      </c>
      <c r="P379" t="s">
        <v>24</v>
      </c>
      <c r="Q379">
        <v>8.5</v>
      </c>
      <c r="R379" t="str">
        <f t="shared" si="5"/>
        <v>June</v>
      </c>
    </row>
    <row r="380" spans="1:18" x14ac:dyDescent="0.3">
      <c r="A380" t="s">
        <v>723</v>
      </c>
      <c r="B380">
        <v>46199</v>
      </c>
      <c r="C380" t="s">
        <v>724</v>
      </c>
      <c r="D380" t="s">
        <v>51</v>
      </c>
      <c r="E380" t="s">
        <v>51</v>
      </c>
      <c r="F380" t="s">
        <v>33</v>
      </c>
      <c r="G380" t="s">
        <v>27</v>
      </c>
      <c r="H380" t="s">
        <v>42</v>
      </c>
      <c r="I380">
        <v>250.72</v>
      </c>
      <c r="J380">
        <v>3</v>
      </c>
      <c r="K380">
        <v>37.61</v>
      </c>
      <c r="L380">
        <v>789.77</v>
      </c>
      <c r="M380">
        <v>637.61</v>
      </c>
      <c r="N380">
        <v>152.16</v>
      </c>
      <c r="O380">
        <v>19.27</v>
      </c>
      <c r="P380" t="s">
        <v>35</v>
      </c>
      <c r="Q380">
        <v>7.8</v>
      </c>
      <c r="R380" t="str">
        <f t="shared" si="5"/>
        <v>June</v>
      </c>
    </row>
    <row r="381" spans="1:18" x14ac:dyDescent="0.3">
      <c r="A381" t="s">
        <v>725</v>
      </c>
      <c r="B381">
        <v>46199</v>
      </c>
      <c r="C381" t="s">
        <v>726</v>
      </c>
      <c r="D381" t="s">
        <v>32</v>
      </c>
      <c r="E381" t="s">
        <v>32</v>
      </c>
      <c r="F381" t="s">
        <v>33</v>
      </c>
      <c r="G381" t="s">
        <v>22</v>
      </c>
      <c r="H381" t="s">
        <v>28</v>
      </c>
      <c r="I381">
        <v>199.36</v>
      </c>
      <c r="J381">
        <v>8</v>
      </c>
      <c r="K381">
        <v>79.739999999999995</v>
      </c>
      <c r="L381">
        <v>1674.62</v>
      </c>
      <c r="M381">
        <v>1331.09</v>
      </c>
      <c r="N381">
        <v>343.53</v>
      </c>
      <c r="O381">
        <v>20.51</v>
      </c>
      <c r="P381" t="s">
        <v>35</v>
      </c>
      <c r="Q381">
        <v>6.3</v>
      </c>
      <c r="R381" t="str">
        <f t="shared" si="5"/>
        <v>June</v>
      </c>
    </row>
    <row r="382" spans="1:18" x14ac:dyDescent="0.3">
      <c r="A382" t="s">
        <v>727</v>
      </c>
      <c r="B382">
        <v>46199</v>
      </c>
      <c r="C382" t="s">
        <v>728</v>
      </c>
      <c r="D382" t="s">
        <v>19</v>
      </c>
      <c r="E382" t="s">
        <v>20</v>
      </c>
      <c r="F382" t="s">
        <v>33</v>
      </c>
      <c r="G382" t="s">
        <v>22</v>
      </c>
      <c r="H382" t="s">
        <v>45</v>
      </c>
      <c r="I382">
        <v>171.59</v>
      </c>
      <c r="J382">
        <v>6</v>
      </c>
      <c r="K382">
        <v>51.48</v>
      </c>
      <c r="L382">
        <v>1081.02</v>
      </c>
      <c r="M382">
        <v>752.2</v>
      </c>
      <c r="N382">
        <v>328.82</v>
      </c>
      <c r="O382">
        <v>30.42</v>
      </c>
      <c r="P382" t="s">
        <v>46</v>
      </c>
      <c r="Q382">
        <v>7.5</v>
      </c>
      <c r="R382" t="str">
        <f t="shared" si="5"/>
        <v>June</v>
      </c>
    </row>
    <row r="383" spans="1:18" x14ac:dyDescent="0.3">
      <c r="A383" t="s">
        <v>729</v>
      </c>
      <c r="B383">
        <v>46199</v>
      </c>
      <c r="C383" t="s">
        <v>730</v>
      </c>
      <c r="D383" t="s">
        <v>19</v>
      </c>
      <c r="E383" t="s">
        <v>20</v>
      </c>
      <c r="F383" t="s">
        <v>21</v>
      </c>
      <c r="G383" t="s">
        <v>27</v>
      </c>
      <c r="H383" t="s">
        <v>45</v>
      </c>
      <c r="I383">
        <v>225.7</v>
      </c>
      <c r="J383">
        <v>3</v>
      </c>
      <c r="K383">
        <v>33.85</v>
      </c>
      <c r="L383">
        <v>710.95</v>
      </c>
      <c r="M383">
        <v>557.70000000000005</v>
      </c>
      <c r="N383">
        <v>153.25</v>
      </c>
      <c r="O383">
        <v>21.56</v>
      </c>
      <c r="P383" t="s">
        <v>46</v>
      </c>
      <c r="Q383">
        <v>6.7</v>
      </c>
      <c r="R383" t="str">
        <f t="shared" si="5"/>
        <v>June</v>
      </c>
    </row>
    <row r="384" spans="1:18" x14ac:dyDescent="0.3">
      <c r="A384" t="s">
        <v>731</v>
      </c>
      <c r="B384">
        <v>46200</v>
      </c>
      <c r="C384" t="s">
        <v>732</v>
      </c>
      <c r="D384" t="s">
        <v>32</v>
      </c>
      <c r="E384" t="s">
        <v>32</v>
      </c>
      <c r="F384" t="s">
        <v>33</v>
      </c>
      <c r="G384" t="s">
        <v>27</v>
      </c>
      <c r="H384" t="s">
        <v>34</v>
      </c>
      <c r="I384">
        <v>69.84</v>
      </c>
      <c r="J384">
        <v>10</v>
      </c>
      <c r="K384">
        <v>34.92</v>
      </c>
      <c r="L384">
        <v>733.32</v>
      </c>
      <c r="M384">
        <v>540.59</v>
      </c>
      <c r="N384">
        <v>192.73</v>
      </c>
      <c r="O384">
        <v>26.28</v>
      </c>
      <c r="P384" t="s">
        <v>35</v>
      </c>
      <c r="Q384">
        <v>6.5</v>
      </c>
      <c r="R384" t="str">
        <f t="shared" si="5"/>
        <v>June</v>
      </c>
    </row>
    <row r="385" spans="1:18" x14ac:dyDescent="0.3">
      <c r="A385" t="s">
        <v>733</v>
      </c>
      <c r="B385">
        <v>46200</v>
      </c>
      <c r="C385" t="s">
        <v>636</v>
      </c>
      <c r="D385" t="s">
        <v>41</v>
      </c>
      <c r="E385" t="s">
        <v>20</v>
      </c>
      <c r="F385" t="s">
        <v>21</v>
      </c>
      <c r="G385" t="s">
        <v>27</v>
      </c>
      <c r="H385" t="s">
        <v>34</v>
      </c>
      <c r="I385">
        <v>84.85</v>
      </c>
      <c r="J385">
        <v>6</v>
      </c>
      <c r="K385">
        <v>25.46</v>
      </c>
      <c r="L385">
        <v>534.55999999999995</v>
      </c>
      <c r="M385">
        <v>394.8</v>
      </c>
      <c r="N385">
        <v>139.76</v>
      </c>
      <c r="O385">
        <v>26.14</v>
      </c>
      <c r="P385" t="s">
        <v>35</v>
      </c>
      <c r="Q385">
        <v>8</v>
      </c>
      <c r="R385" t="str">
        <f t="shared" si="5"/>
        <v>June</v>
      </c>
    </row>
    <row r="386" spans="1:18" x14ac:dyDescent="0.3">
      <c r="A386" t="s">
        <v>734</v>
      </c>
      <c r="B386">
        <v>46201</v>
      </c>
      <c r="C386" t="s">
        <v>712</v>
      </c>
      <c r="D386" t="s">
        <v>59</v>
      </c>
      <c r="E386" t="s">
        <v>59</v>
      </c>
      <c r="F386" t="s">
        <v>21</v>
      </c>
      <c r="G386" t="s">
        <v>27</v>
      </c>
      <c r="H386" t="s">
        <v>42</v>
      </c>
      <c r="I386">
        <v>384.23</v>
      </c>
      <c r="J386">
        <v>5</v>
      </c>
      <c r="K386">
        <v>96.06</v>
      </c>
      <c r="L386">
        <v>2017.21</v>
      </c>
      <c r="M386">
        <v>1528.63</v>
      </c>
      <c r="N386">
        <v>488.58</v>
      </c>
      <c r="O386">
        <v>24.22</v>
      </c>
      <c r="P386" t="s">
        <v>24</v>
      </c>
      <c r="Q386">
        <v>7.8</v>
      </c>
      <c r="R386" t="str">
        <f t="shared" si="5"/>
        <v>June</v>
      </c>
    </row>
    <row r="387" spans="1:18" x14ac:dyDescent="0.3">
      <c r="A387" t="s">
        <v>735</v>
      </c>
      <c r="B387">
        <v>46201</v>
      </c>
      <c r="C387" t="s">
        <v>736</v>
      </c>
      <c r="D387" t="s">
        <v>59</v>
      </c>
      <c r="E387" t="s">
        <v>59</v>
      </c>
      <c r="F387" t="s">
        <v>21</v>
      </c>
      <c r="G387" t="s">
        <v>22</v>
      </c>
      <c r="H387" t="s">
        <v>52</v>
      </c>
      <c r="I387">
        <v>70.459999999999994</v>
      </c>
      <c r="J387">
        <v>7</v>
      </c>
      <c r="K387">
        <v>24.66</v>
      </c>
      <c r="L387">
        <v>517.88</v>
      </c>
      <c r="M387">
        <v>393.91</v>
      </c>
      <c r="N387">
        <v>123.97</v>
      </c>
      <c r="O387">
        <v>23.94</v>
      </c>
      <c r="P387" t="s">
        <v>29</v>
      </c>
      <c r="Q387">
        <v>7.2</v>
      </c>
      <c r="R387" t="str">
        <f t="shared" ref="R387:R450" si="6">TEXT(B387,"mmmm")</f>
        <v>June</v>
      </c>
    </row>
    <row r="388" spans="1:18" x14ac:dyDescent="0.3">
      <c r="A388" t="s">
        <v>737</v>
      </c>
      <c r="B388">
        <v>46201</v>
      </c>
      <c r="C388" t="s">
        <v>429</v>
      </c>
      <c r="D388" t="s">
        <v>59</v>
      </c>
      <c r="E388" t="s">
        <v>59</v>
      </c>
      <c r="F388" t="s">
        <v>21</v>
      </c>
      <c r="G388" t="s">
        <v>22</v>
      </c>
      <c r="H388" t="s">
        <v>23</v>
      </c>
      <c r="I388">
        <v>114.82</v>
      </c>
      <c r="J388">
        <v>6</v>
      </c>
      <c r="K388">
        <v>34.450000000000003</v>
      </c>
      <c r="L388">
        <v>723.37</v>
      </c>
      <c r="M388">
        <v>592.41999999999996</v>
      </c>
      <c r="N388">
        <v>130.94999999999999</v>
      </c>
      <c r="O388">
        <v>18.100000000000001</v>
      </c>
      <c r="P388" t="s">
        <v>29</v>
      </c>
      <c r="Q388">
        <v>10</v>
      </c>
      <c r="R388" t="str">
        <f t="shared" si="6"/>
        <v>June</v>
      </c>
    </row>
    <row r="389" spans="1:18" x14ac:dyDescent="0.3">
      <c r="A389" t="s">
        <v>738</v>
      </c>
      <c r="B389">
        <v>46201</v>
      </c>
      <c r="C389" t="s">
        <v>739</v>
      </c>
      <c r="D389" t="s">
        <v>32</v>
      </c>
      <c r="E389" t="s">
        <v>32</v>
      </c>
      <c r="F389" t="s">
        <v>33</v>
      </c>
      <c r="G389" t="s">
        <v>22</v>
      </c>
      <c r="H389" t="s">
        <v>52</v>
      </c>
      <c r="I389">
        <v>97.05</v>
      </c>
      <c r="J389">
        <v>1</v>
      </c>
      <c r="K389">
        <v>4.8499999999999996</v>
      </c>
      <c r="L389">
        <v>101.9</v>
      </c>
      <c r="M389">
        <v>68.900000000000006</v>
      </c>
      <c r="N389">
        <v>33</v>
      </c>
      <c r="O389">
        <v>32.380000000000003</v>
      </c>
      <c r="P389" t="s">
        <v>46</v>
      </c>
      <c r="Q389">
        <v>7.8</v>
      </c>
      <c r="R389" t="str">
        <f t="shared" si="6"/>
        <v>June</v>
      </c>
    </row>
    <row r="390" spans="1:18" x14ac:dyDescent="0.3">
      <c r="A390" t="s">
        <v>740</v>
      </c>
      <c r="B390">
        <v>46202</v>
      </c>
      <c r="C390" t="s">
        <v>376</v>
      </c>
      <c r="D390" t="s">
        <v>32</v>
      </c>
      <c r="E390" t="s">
        <v>32</v>
      </c>
      <c r="F390" t="s">
        <v>33</v>
      </c>
      <c r="G390" t="s">
        <v>27</v>
      </c>
      <c r="H390" t="s">
        <v>23</v>
      </c>
      <c r="I390">
        <v>154.37</v>
      </c>
      <c r="J390">
        <v>6</v>
      </c>
      <c r="K390">
        <v>46.31</v>
      </c>
      <c r="L390">
        <v>972.53</v>
      </c>
      <c r="M390">
        <v>692.97</v>
      </c>
      <c r="N390">
        <v>279.56</v>
      </c>
      <c r="O390">
        <v>28.75</v>
      </c>
      <c r="P390" t="s">
        <v>24</v>
      </c>
      <c r="Q390">
        <v>7.9</v>
      </c>
      <c r="R390" t="str">
        <f t="shared" si="6"/>
        <v>June</v>
      </c>
    </row>
    <row r="391" spans="1:18" x14ac:dyDescent="0.3">
      <c r="A391" t="s">
        <v>741</v>
      </c>
      <c r="B391">
        <v>46202</v>
      </c>
      <c r="C391" t="s">
        <v>742</v>
      </c>
      <c r="D391" t="s">
        <v>51</v>
      </c>
      <c r="E391" t="s">
        <v>51</v>
      </c>
      <c r="F391" t="s">
        <v>33</v>
      </c>
      <c r="G391" t="s">
        <v>22</v>
      </c>
      <c r="H391" t="s">
        <v>42</v>
      </c>
      <c r="I391">
        <v>445.88</v>
      </c>
      <c r="J391">
        <v>8</v>
      </c>
      <c r="K391">
        <v>178.35</v>
      </c>
      <c r="L391">
        <v>3745.39</v>
      </c>
      <c r="M391">
        <v>2541.7399999999998</v>
      </c>
      <c r="N391">
        <v>1203.6500000000001</v>
      </c>
      <c r="O391">
        <v>32.14</v>
      </c>
      <c r="P391" t="s">
        <v>46</v>
      </c>
      <c r="Q391">
        <v>7.6</v>
      </c>
      <c r="R391" t="str">
        <f t="shared" si="6"/>
        <v>June</v>
      </c>
    </row>
    <row r="392" spans="1:18" x14ac:dyDescent="0.3">
      <c r="A392" t="s">
        <v>743</v>
      </c>
      <c r="B392">
        <v>46203</v>
      </c>
      <c r="C392" t="s">
        <v>744</v>
      </c>
      <c r="D392" t="s">
        <v>41</v>
      </c>
      <c r="E392" t="s">
        <v>20</v>
      </c>
      <c r="F392" t="s">
        <v>21</v>
      </c>
      <c r="G392" t="s">
        <v>27</v>
      </c>
      <c r="H392" t="s">
        <v>23</v>
      </c>
      <c r="I392">
        <v>153.49</v>
      </c>
      <c r="J392">
        <v>4</v>
      </c>
      <c r="K392">
        <v>30.7</v>
      </c>
      <c r="L392">
        <v>644.66</v>
      </c>
      <c r="M392">
        <v>471.05</v>
      </c>
      <c r="N392">
        <v>173.61</v>
      </c>
      <c r="O392">
        <v>26.93</v>
      </c>
      <c r="P392" t="s">
        <v>46</v>
      </c>
      <c r="Q392">
        <v>6.9</v>
      </c>
      <c r="R392" t="str">
        <f t="shared" si="6"/>
        <v>June</v>
      </c>
    </row>
    <row r="393" spans="1:18" x14ac:dyDescent="0.3">
      <c r="A393" t="s">
        <v>745</v>
      </c>
      <c r="B393">
        <v>46204</v>
      </c>
      <c r="C393" t="s">
        <v>565</v>
      </c>
      <c r="D393" t="s">
        <v>19</v>
      </c>
      <c r="E393" t="s">
        <v>20</v>
      </c>
      <c r="F393" t="s">
        <v>21</v>
      </c>
      <c r="G393" t="s">
        <v>22</v>
      </c>
      <c r="H393" t="s">
        <v>45</v>
      </c>
      <c r="I393">
        <v>236.24</v>
      </c>
      <c r="J393">
        <v>3</v>
      </c>
      <c r="K393">
        <v>35.44</v>
      </c>
      <c r="L393">
        <v>744.16</v>
      </c>
      <c r="M393">
        <v>621.91999999999996</v>
      </c>
      <c r="N393">
        <v>122.24</v>
      </c>
      <c r="O393">
        <v>16.43</v>
      </c>
      <c r="P393" t="s">
        <v>24</v>
      </c>
      <c r="Q393">
        <v>8</v>
      </c>
      <c r="R393" t="str">
        <f t="shared" si="6"/>
        <v>July</v>
      </c>
    </row>
    <row r="394" spans="1:18" x14ac:dyDescent="0.3">
      <c r="A394" t="s">
        <v>746</v>
      </c>
      <c r="B394">
        <v>46204</v>
      </c>
      <c r="C394" t="s">
        <v>728</v>
      </c>
      <c r="D394" t="s">
        <v>59</v>
      </c>
      <c r="E394" t="s">
        <v>59</v>
      </c>
      <c r="F394" t="s">
        <v>21</v>
      </c>
      <c r="G394" t="s">
        <v>22</v>
      </c>
      <c r="H394" t="s">
        <v>23</v>
      </c>
      <c r="I394">
        <v>72.989999999999995</v>
      </c>
      <c r="J394">
        <v>3</v>
      </c>
      <c r="K394">
        <v>10.95</v>
      </c>
      <c r="L394">
        <v>229.92</v>
      </c>
      <c r="M394">
        <v>173.49</v>
      </c>
      <c r="N394">
        <v>56.43</v>
      </c>
      <c r="O394">
        <v>24.54</v>
      </c>
      <c r="P394" t="s">
        <v>46</v>
      </c>
      <c r="Q394">
        <v>7.4</v>
      </c>
      <c r="R394" t="str">
        <f t="shared" si="6"/>
        <v>July</v>
      </c>
    </row>
    <row r="395" spans="1:18" x14ac:dyDescent="0.3">
      <c r="A395" t="s">
        <v>747</v>
      </c>
      <c r="B395">
        <v>46205</v>
      </c>
      <c r="C395" t="s">
        <v>748</v>
      </c>
      <c r="D395" t="s">
        <v>41</v>
      </c>
      <c r="E395" t="s">
        <v>20</v>
      </c>
      <c r="F395" t="s">
        <v>33</v>
      </c>
      <c r="G395" t="s">
        <v>22</v>
      </c>
      <c r="H395" t="s">
        <v>42</v>
      </c>
      <c r="I395">
        <v>244.57</v>
      </c>
      <c r="J395">
        <v>8</v>
      </c>
      <c r="K395">
        <v>97.83</v>
      </c>
      <c r="L395">
        <v>2054.39</v>
      </c>
      <c r="M395">
        <v>1515.68</v>
      </c>
      <c r="N395">
        <v>538.71</v>
      </c>
      <c r="O395">
        <v>26.22</v>
      </c>
      <c r="P395" t="s">
        <v>46</v>
      </c>
      <c r="Q395">
        <v>7.4</v>
      </c>
      <c r="R395" t="str">
        <f t="shared" si="6"/>
        <v>July</v>
      </c>
    </row>
    <row r="396" spans="1:18" x14ac:dyDescent="0.3">
      <c r="A396" t="s">
        <v>749</v>
      </c>
      <c r="B396">
        <v>46205</v>
      </c>
      <c r="C396" t="s">
        <v>750</v>
      </c>
      <c r="D396" t="s">
        <v>41</v>
      </c>
      <c r="E396" t="s">
        <v>20</v>
      </c>
      <c r="F396" t="s">
        <v>33</v>
      </c>
      <c r="G396" t="s">
        <v>27</v>
      </c>
      <c r="H396" t="s">
        <v>23</v>
      </c>
      <c r="I396">
        <v>141.41999999999999</v>
      </c>
      <c r="J396">
        <v>4</v>
      </c>
      <c r="K396">
        <v>28.28</v>
      </c>
      <c r="L396">
        <v>593.96</v>
      </c>
      <c r="M396">
        <v>480.78</v>
      </c>
      <c r="N396">
        <v>113.18</v>
      </c>
      <c r="O396">
        <v>19.059999999999999</v>
      </c>
      <c r="P396" t="s">
        <v>46</v>
      </c>
      <c r="Q396">
        <v>6.4</v>
      </c>
      <c r="R396" t="str">
        <f t="shared" si="6"/>
        <v>July</v>
      </c>
    </row>
    <row r="397" spans="1:18" x14ac:dyDescent="0.3">
      <c r="A397" t="s">
        <v>751</v>
      </c>
      <c r="B397">
        <v>46205</v>
      </c>
      <c r="C397" t="s">
        <v>752</v>
      </c>
      <c r="D397" t="s">
        <v>51</v>
      </c>
      <c r="E397" t="s">
        <v>51</v>
      </c>
      <c r="F397" t="s">
        <v>21</v>
      </c>
      <c r="G397" t="s">
        <v>22</v>
      </c>
      <c r="H397" t="s">
        <v>28</v>
      </c>
      <c r="I397">
        <v>110.82</v>
      </c>
      <c r="J397">
        <v>2</v>
      </c>
      <c r="K397">
        <v>11.08</v>
      </c>
      <c r="L397">
        <v>232.72</v>
      </c>
      <c r="M397">
        <v>184.69</v>
      </c>
      <c r="N397">
        <v>48.03</v>
      </c>
      <c r="O397">
        <v>20.64</v>
      </c>
      <c r="P397" t="s">
        <v>46</v>
      </c>
      <c r="Q397">
        <v>6.7</v>
      </c>
      <c r="R397" t="str">
        <f t="shared" si="6"/>
        <v>July</v>
      </c>
    </row>
    <row r="398" spans="1:18" x14ac:dyDescent="0.3">
      <c r="A398" t="s">
        <v>753</v>
      </c>
      <c r="B398">
        <v>46205</v>
      </c>
      <c r="C398" t="s">
        <v>754</v>
      </c>
      <c r="D398" t="s">
        <v>41</v>
      </c>
      <c r="E398" t="s">
        <v>20</v>
      </c>
      <c r="F398" t="s">
        <v>21</v>
      </c>
      <c r="G398" t="s">
        <v>22</v>
      </c>
      <c r="H398" t="s">
        <v>42</v>
      </c>
      <c r="I398">
        <v>303.17</v>
      </c>
      <c r="J398">
        <v>9</v>
      </c>
      <c r="K398">
        <v>136.43</v>
      </c>
      <c r="L398">
        <v>2864.96</v>
      </c>
      <c r="M398">
        <v>2329.5300000000002</v>
      </c>
      <c r="N398">
        <v>535.42999999999995</v>
      </c>
      <c r="O398">
        <v>18.690000000000001</v>
      </c>
      <c r="P398" t="s">
        <v>24</v>
      </c>
      <c r="Q398">
        <v>9.1</v>
      </c>
      <c r="R398" t="str">
        <f t="shared" si="6"/>
        <v>July</v>
      </c>
    </row>
    <row r="399" spans="1:18" x14ac:dyDescent="0.3">
      <c r="A399" t="s">
        <v>755</v>
      </c>
      <c r="B399">
        <v>46206</v>
      </c>
      <c r="C399" t="s">
        <v>306</v>
      </c>
      <c r="D399" t="s">
        <v>19</v>
      </c>
      <c r="E399" t="s">
        <v>20</v>
      </c>
      <c r="F399" t="s">
        <v>21</v>
      </c>
      <c r="G399" t="s">
        <v>22</v>
      </c>
      <c r="H399" t="s">
        <v>72</v>
      </c>
      <c r="I399">
        <v>204.52</v>
      </c>
      <c r="J399">
        <v>7</v>
      </c>
      <c r="K399">
        <v>71.58</v>
      </c>
      <c r="L399">
        <v>1503.22</v>
      </c>
      <c r="M399">
        <v>1194.33</v>
      </c>
      <c r="N399">
        <v>308.89</v>
      </c>
      <c r="O399">
        <v>20.55</v>
      </c>
      <c r="P399" t="s">
        <v>35</v>
      </c>
      <c r="Q399">
        <v>7.6</v>
      </c>
      <c r="R399" t="str">
        <f t="shared" si="6"/>
        <v>July</v>
      </c>
    </row>
    <row r="400" spans="1:18" x14ac:dyDescent="0.3">
      <c r="A400" t="s">
        <v>756</v>
      </c>
      <c r="B400">
        <v>46206</v>
      </c>
      <c r="C400" t="s">
        <v>757</v>
      </c>
      <c r="D400" t="s">
        <v>41</v>
      </c>
      <c r="E400" t="s">
        <v>20</v>
      </c>
      <c r="F400" t="s">
        <v>21</v>
      </c>
      <c r="G400" t="s">
        <v>22</v>
      </c>
      <c r="H400" t="s">
        <v>23</v>
      </c>
      <c r="I400">
        <v>117.49</v>
      </c>
      <c r="J400">
        <v>3</v>
      </c>
      <c r="K400">
        <v>17.62</v>
      </c>
      <c r="L400">
        <v>370.09</v>
      </c>
      <c r="M400">
        <v>275.99</v>
      </c>
      <c r="N400">
        <v>94.1</v>
      </c>
      <c r="O400">
        <v>25.43</v>
      </c>
      <c r="P400" t="s">
        <v>35</v>
      </c>
      <c r="Q400">
        <v>8.6999999999999993</v>
      </c>
      <c r="R400" t="str">
        <f t="shared" si="6"/>
        <v>July</v>
      </c>
    </row>
    <row r="401" spans="1:18" x14ac:dyDescent="0.3">
      <c r="A401" t="s">
        <v>758</v>
      </c>
      <c r="B401">
        <v>46207</v>
      </c>
      <c r="C401" t="s">
        <v>281</v>
      </c>
      <c r="D401" t="s">
        <v>41</v>
      </c>
      <c r="E401" t="s">
        <v>20</v>
      </c>
      <c r="F401" t="s">
        <v>33</v>
      </c>
      <c r="G401" t="s">
        <v>22</v>
      </c>
      <c r="H401" t="s">
        <v>45</v>
      </c>
      <c r="I401">
        <v>270.63</v>
      </c>
      <c r="J401">
        <v>9</v>
      </c>
      <c r="K401">
        <v>121.78</v>
      </c>
      <c r="L401">
        <v>2557.4499999999998</v>
      </c>
      <c r="M401">
        <v>2018.28</v>
      </c>
      <c r="N401">
        <v>539.16999999999996</v>
      </c>
      <c r="O401">
        <v>21.08</v>
      </c>
      <c r="P401" t="s">
        <v>29</v>
      </c>
      <c r="Q401">
        <v>7.2</v>
      </c>
      <c r="R401" t="str">
        <f t="shared" si="6"/>
        <v>July</v>
      </c>
    </row>
    <row r="402" spans="1:18" x14ac:dyDescent="0.3">
      <c r="A402" t="s">
        <v>759</v>
      </c>
      <c r="B402">
        <v>46207</v>
      </c>
      <c r="C402" t="s">
        <v>760</v>
      </c>
      <c r="D402" t="s">
        <v>51</v>
      </c>
      <c r="E402" t="s">
        <v>51</v>
      </c>
      <c r="F402" t="s">
        <v>21</v>
      </c>
      <c r="G402" t="s">
        <v>22</v>
      </c>
      <c r="H402" t="s">
        <v>72</v>
      </c>
      <c r="I402">
        <v>177.46</v>
      </c>
      <c r="J402">
        <v>5</v>
      </c>
      <c r="K402">
        <v>44.37</v>
      </c>
      <c r="L402">
        <v>931.67</v>
      </c>
      <c r="M402">
        <v>663.28</v>
      </c>
      <c r="N402">
        <v>268.39</v>
      </c>
      <c r="O402">
        <v>28.81</v>
      </c>
      <c r="P402" t="s">
        <v>46</v>
      </c>
      <c r="Q402">
        <v>8</v>
      </c>
      <c r="R402" t="str">
        <f t="shared" si="6"/>
        <v>July</v>
      </c>
    </row>
    <row r="403" spans="1:18" x14ac:dyDescent="0.3">
      <c r="A403" t="s">
        <v>761</v>
      </c>
      <c r="B403">
        <v>46208</v>
      </c>
      <c r="C403" t="s">
        <v>78</v>
      </c>
      <c r="D403" t="s">
        <v>19</v>
      </c>
      <c r="E403" t="s">
        <v>20</v>
      </c>
      <c r="F403" t="s">
        <v>33</v>
      </c>
      <c r="G403" t="s">
        <v>27</v>
      </c>
      <c r="H403" t="s">
        <v>34</v>
      </c>
      <c r="I403">
        <v>51.87</v>
      </c>
      <c r="J403">
        <v>5</v>
      </c>
      <c r="K403">
        <v>12.97</v>
      </c>
      <c r="L403">
        <v>272.32</v>
      </c>
      <c r="M403">
        <v>223.73</v>
      </c>
      <c r="N403">
        <v>48.59</v>
      </c>
      <c r="O403">
        <v>17.84</v>
      </c>
      <c r="P403" t="s">
        <v>46</v>
      </c>
      <c r="Q403">
        <v>6.6</v>
      </c>
      <c r="R403" t="str">
        <f t="shared" si="6"/>
        <v>July</v>
      </c>
    </row>
    <row r="404" spans="1:18" x14ac:dyDescent="0.3">
      <c r="A404" t="s">
        <v>762</v>
      </c>
      <c r="B404">
        <v>46208</v>
      </c>
      <c r="C404" t="s">
        <v>763</v>
      </c>
      <c r="D404" t="s">
        <v>32</v>
      </c>
      <c r="E404" t="s">
        <v>32</v>
      </c>
      <c r="F404" t="s">
        <v>21</v>
      </c>
      <c r="G404" t="s">
        <v>22</v>
      </c>
      <c r="H404" t="s">
        <v>42</v>
      </c>
      <c r="I404">
        <v>225.01</v>
      </c>
      <c r="J404">
        <v>3</v>
      </c>
      <c r="K404">
        <v>33.75</v>
      </c>
      <c r="L404">
        <v>708.78</v>
      </c>
      <c r="M404">
        <v>538.95000000000005</v>
      </c>
      <c r="N404">
        <v>169.83</v>
      </c>
      <c r="O404">
        <v>23.96</v>
      </c>
      <c r="P404" t="s">
        <v>35</v>
      </c>
      <c r="Q404">
        <v>7.8</v>
      </c>
      <c r="R404" t="str">
        <f t="shared" si="6"/>
        <v>July</v>
      </c>
    </row>
    <row r="405" spans="1:18" x14ac:dyDescent="0.3">
      <c r="A405" t="s">
        <v>764</v>
      </c>
      <c r="B405">
        <v>46208</v>
      </c>
      <c r="C405" t="s">
        <v>308</v>
      </c>
      <c r="D405" t="s">
        <v>51</v>
      </c>
      <c r="E405" t="s">
        <v>51</v>
      </c>
      <c r="F405" t="s">
        <v>21</v>
      </c>
      <c r="G405" t="s">
        <v>27</v>
      </c>
      <c r="H405" t="s">
        <v>42</v>
      </c>
      <c r="I405">
        <v>244.5</v>
      </c>
      <c r="J405">
        <v>3</v>
      </c>
      <c r="K405">
        <v>36.68</v>
      </c>
      <c r="L405">
        <v>770.18</v>
      </c>
      <c r="M405">
        <v>577.4</v>
      </c>
      <c r="N405">
        <v>192.78</v>
      </c>
      <c r="O405">
        <v>25.03</v>
      </c>
      <c r="P405" t="s">
        <v>46</v>
      </c>
      <c r="Q405">
        <v>6.6</v>
      </c>
      <c r="R405" t="str">
        <f t="shared" si="6"/>
        <v>July</v>
      </c>
    </row>
    <row r="406" spans="1:18" x14ac:dyDescent="0.3">
      <c r="A406" t="s">
        <v>765</v>
      </c>
      <c r="B406">
        <v>46209</v>
      </c>
      <c r="C406" t="s">
        <v>766</v>
      </c>
      <c r="D406" t="s">
        <v>41</v>
      </c>
      <c r="E406" t="s">
        <v>20</v>
      </c>
      <c r="F406" t="s">
        <v>33</v>
      </c>
      <c r="G406" t="s">
        <v>27</v>
      </c>
      <c r="H406" t="s">
        <v>34</v>
      </c>
      <c r="I406">
        <v>59.75</v>
      </c>
      <c r="J406">
        <v>3</v>
      </c>
      <c r="K406">
        <v>8.9600000000000009</v>
      </c>
      <c r="L406">
        <v>188.21</v>
      </c>
      <c r="M406">
        <v>138.66</v>
      </c>
      <c r="N406">
        <v>49.55</v>
      </c>
      <c r="O406">
        <v>26.33</v>
      </c>
      <c r="P406" t="s">
        <v>46</v>
      </c>
      <c r="Q406">
        <v>7.9</v>
      </c>
      <c r="R406" t="str">
        <f t="shared" si="6"/>
        <v>July</v>
      </c>
    </row>
    <row r="407" spans="1:18" x14ac:dyDescent="0.3">
      <c r="A407" t="s">
        <v>767</v>
      </c>
      <c r="B407">
        <v>46209</v>
      </c>
      <c r="C407" t="s">
        <v>768</v>
      </c>
      <c r="D407" t="s">
        <v>51</v>
      </c>
      <c r="E407" t="s">
        <v>51</v>
      </c>
      <c r="F407" t="s">
        <v>21</v>
      </c>
      <c r="G407" t="s">
        <v>27</v>
      </c>
      <c r="H407" t="s">
        <v>28</v>
      </c>
      <c r="I407">
        <v>95.61</v>
      </c>
      <c r="J407">
        <v>7</v>
      </c>
      <c r="K407">
        <v>33.46</v>
      </c>
      <c r="L407">
        <v>702.73</v>
      </c>
      <c r="M407">
        <v>582.35</v>
      </c>
      <c r="N407">
        <v>120.38</v>
      </c>
      <c r="O407">
        <v>17.13</v>
      </c>
      <c r="P407" t="s">
        <v>38</v>
      </c>
      <c r="Q407">
        <v>6.7</v>
      </c>
      <c r="R407" t="str">
        <f t="shared" si="6"/>
        <v>July</v>
      </c>
    </row>
    <row r="408" spans="1:18" x14ac:dyDescent="0.3">
      <c r="A408" t="s">
        <v>769</v>
      </c>
      <c r="B408">
        <v>46209</v>
      </c>
      <c r="C408" t="s">
        <v>534</v>
      </c>
      <c r="D408" t="s">
        <v>41</v>
      </c>
      <c r="E408" t="s">
        <v>20</v>
      </c>
      <c r="F408" t="s">
        <v>21</v>
      </c>
      <c r="G408" t="s">
        <v>27</v>
      </c>
      <c r="H408" t="s">
        <v>34</v>
      </c>
      <c r="I408">
        <v>62.93</v>
      </c>
      <c r="J408">
        <v>5</v>
      </c>
      <c r="K408">
        <v>15.73</v>
      </c>
      <c r="L408">
        <v>330.38</v>
      </c>
      <c r="M408">
        <v>262.33999999999997</v>
      </c>
      <c r="N408">
        <v>68.040000000000006</v>
      </c>
      <c r="O408">
        <v>20.59</v>
      </c>
      <c r="P408" t="s">
        <v>46</v>
      </c>
      <c r="Q408">
        <v>7.3</v>
      </c>
      <c r="R408" t="str">
        <f t="shared" si="6"/>
        <v>July</v>
      </c>
    </row>
    <row r="409" spans="1:18" x14ac:dyDescent="0.3">
      <c r="A409" t="s">
        <v>770</v>
      </c>
      <c r="B409">
        <v>46209</v>
      </c>
      <c r="C409" t="s">
        <v>771</v>
      </c>
      <c r="D409" t="s">
        <v>59</v>
      </c>
      <c r="E409" t="s">
        <v>59</v>
      </c>
      <c r="F409" t="s">
        <v>33</v>
      </c>
      <c r="G409" t="s">
        <v>27</v>
      </c>
      <c r="H409" t="s">
        <v>34</v>
      </c>
      <c r="I409">
        <v>68.06</v>
      </c>
      <c r="J409">
        <v>8</v>
      </c>
      <c r="K409">
        <v>27.22</v>
      </c>
      <c r="L409">
        <v>571.70000000000005</v>
      </c>
      <c r="M409">
        <v>471.8</v>
      </c>
      <c r="N409">
        <v>99.9</v>
      </c>
      <c r="O409">
        <v>17.47</v>
      </c>
      <c r="P409" t="s">
        <v>46</v>
      </c>
      <c r="Q409">
        <v>6.6</v>
      </c>
      <c r="R409" t="str">
        <f t="shared" si="6"/>
        <v>July</v>
      </c>
    </row>
    <row r="410" spans="1:18" x14ac:dyDescent="0.3">
      <c r="A410" t="s">
        <v>772</v>
      </c>
      <c r="B410">
        <v>46210</v>
      </c>
      <c r="C410" t="s">
        <v>316</v>
      </c>
      <c r="D410" t="s">
        <v>32</v>
      </c>
      <c r="E410" t="s">
        <v>32</v>
      </c>
      <c r="F410" t="s">
        <v>21</v>
      </c>
      <c r="G410" t="s">
        <v>22</v>
      </c>
      <c r="H410" t="s">
        <v>23</v>
      </c>
      <c r="I410">
        <v>91.54</v>
      </c>
      <c r="J410">
        <v>6</v>
      </c>
      <c r="K410">
        <v>27.46</v>
      </c>
      <c r="L410">
        <v>576.70000000000005</v>
      </c>
      <c r="M410">
        <v>427.09</v>
      </c>
      <c r="N410">
        <v>149.61000000000001</v>
      </c>
      <c r="O410">
        <v>25.94</v>
      </c>
      <c r="P410" t="s">
        <v>46</v>
      </c>
      <c r="Q410">
        <v>9.1999999999999993</v>
      </c>
      <c r="R410" t="str">
        <f t="shared" si="6"/>
        <v>July</v>
      </c>
    </row>
    <row r="411" spans="1:18" x14ac:dyDescent="0.3">
      <c r="A411" t="s">
        <v>773</v>
      </c>
      <c r="B411">
        <v>46210</v>
      </c>
      <c r="C411" t="s">
        <v>774</v>
      </c>
      <c r="D411" t="s">
        <v>59</v>
      </c>
      <c r="E411" t="s">
        <v>59</v>
      </c>
      <c r="F411" t="s">
        <v>21</v>
      </c>
      <c r="G411" t="s">
        <v>22</v>
      </c>
      <c r="H411" t="s">
        <v>42</v>
      </c>
      <c r="I411">
        <v>260.02999999999997</v>
      </c>
      <c r="J411">
        <v>4</v>
      </c>
      <c r="K411">
        <v>52.01</v>
      </c>
      <c r="L411">
        <v>1092.1300000000001</v>
      </c>
      <c r="M411">
        <v>768.75</v>
      </c>
      <c r="N411">
        <v>323.38</v>
      </c>
      <c r="O411">
        <v>29.61</v>
      </c>
      <c r="P411" t="s">
        <v>46</v>
      </c>
      <c r="Q411">
        <v>7.6</v>
      </c>
      <c r="R411" t="str">
        <f t="shared" si="6"/>
        <v>July</v>
      </c>
    </row>
    <row r="412" spans="1:18" x14ac:dyDescent="0.3">
      <c r="A412" t="s">
        <v>775</v>
      </c>
      <c r="B412">
        <v>46210</v>
      </c>
      <c r="C412" t="s">
        <v>776</v>
      </c>
      <c r="D412" t="s">
        <v>59</v>
      </c>
      <c r="E412" t="s">
        <v>59</v>
      </c>
      <c r="F412" t="s">
        <v>21</v>
      </c>
      <c r="G412" t="s">
        <v>27</v>
      </c>
      <c r="H412" t="s">
        <v>23</v>
      </c>
      <c r="I412">
        <v>77.92</v>
      </c>
      <c r="J412">
        <v>2</v>
      </c>
      <c r="K412">
        <v>7.79</v>
      </c>
      <c r="L412">
        <v>163.63</v>
      </c>
      <c r="M412">
        <v>112.18</v>
      </c>
      <c r="N412">
        <v>51.45</v>
      </c>
      <c r="O412">
        <v>31.44</v>
      </c>
      <c r="P412" t="s">
        <v>35</v>
      </c>
      <c r="Q412">
        <v>7.1</v>
      </c>
      <c r="R412" t="str">
        <f t="shared" si="6"/>
        <v>July</v>
      </c>
    </row>
    <row r="413" spans="1:18" x14ac:dyDescent="0.3">
      <c r="A413" t="s">
        <v>777</v>
      </c>
      <c r="B413">
        <v>46210</v>
      </c>
      <c r="C413" t="s">
        <v>778</v>
      </c>
      <c r="D413" t="s">
        <v>19</v>
      </c>
      <c r="E413" t="s">
        <v>20</v>
      </c>
      <c r="F413" t="s">
        <v>33</v>
      </c>
      <c r="G413" t="s">
        <v>27</v>
      </c>
      <c r="H413" t="s">
        <v>52</v>
      </c>
      <c r="I413">
        <v>97.69</v>
      </c>
      <c r="J413">
        <v>9</v>
      </c>
      <c r="K413">
        <v>43.96</v>
      </c>
      <c r="L413">
        <v>923.17</v>
      </c>
      <c r="M413">
        <v>754.97</v>
      </c>
      <c r="N413">
        <v>168.2</v>
      </c>
      <c r="O413">
        <v>18.22</v>
      </c>
      <c r="P413" t="s">
        <v>35</v>
      </c>
      <c r="Q413">
        <v>7.6</v>
      </c>
      <c r="R413" t="str">
        <f t="shared" si="6"/>
        <v>July</v>
      </c>
    </row>
    <row r="414" spans="1:18" x14ac:dyDescent="0.3">
      <c r="A414" t="s">
        <v>779</v>
      </c>
      <c r="B414">
        <v>46210</v>
      </c>
      <c r="C414" t="s">
        <v>780</v>
      </c>
      <c r="D414" t="s">
        <v>41</v>
      </c>
      <c r="E414" t="s">
        <v>20</v>
      </c>
      <c r="F414" t="s">
        <v>33</v>
      </c>
      <c r="G414" t="s">
        <v>27</v>
      </c>
      <c r="H414" t="s">
        <v>28</v>
      </c>
      <c r="I414">
        <v>205.35</v>
      </c>
      <c r="J414">
        <v>2</v>
      </c>
      <c r="K414">
        <v>20.54</v>
      </c>
      <c r="L414">
        <v>431.24</v>
      </c>
      <c r="M414">
        <v>326.08</v>
      </c>
      <c r="N414">
        <v>105.16</v>
      </c>
      <c r="O414">
        <v>24.39</v>
      </c>
      <c r="P414" t="s">
        <v>38</v>
      </c>
      <c r="Q414">
        <v>7.6</v>
      </c>
      <c r="R414" t="str">
        <f t="shared" si="6"/>
        <v>July</v>
      </c>
    </row>
    <row r="415" spans="1:18" x14ac:dyDescent="0.3">
      <c r="A415" t="s">
        <v>781</v>
      </c>
      <c r="B415">
        <v>46211</v>
      </c>
      <c r="C415" t="s">
        <v>782</v>
      </c>
      <c r="D415" t="s">
        <v>59</v>
      </c>
      <c r="E415" t="s">
        <v>59</v>
      </c>
      <c r="F415" t="s">
        <v>21</v>
      </c>
      <c r="G415" t="s">
        <v>22</v>
      </c>
      <c r="H415" t="s">
        <v>72</v>
      </c>
      <c r="I415">
        <v>209.33</v>
      </c>
      <c r="J415">
        <v>2</v>
      </c>
      <c r="K415">
        <v>20.93</v>
      </c>
      <c r="L415">
        <v>439.59</v>
      </c>
      <c r="M415">
        <v>341.14</v>
      </c>
      <c r="N415">
        <v>98.45</v>
      </c>
      <c r="O415">
        <v>22.4</v>
      </c>
      <c r="P415" t="s">
        <v>38</v>
      </c>
      <c r="Q415">
        <v>7.2</v>
      </c>
      <c r="R415" t="str">
        <f t="shared" si="6"/>
        <v>July</v>
      </c>
    </row>
    <row r="416" spans="1:18" x14ac:dyDescent="0.3">
      <c r="A416" t="s">
        <v>783</v>
      </c>
      <c r="B416">
        <v>46212</v>
      </c>
      <c r="C416" t="s">
        <v>784</v>
      </c>
      <c r="D416" t="s">
        <v>19</v>
      </c>
      <c r="E416" t="s">
        <v>20</v>
      </c>
      <c r="F416" t="s">
        <v>21</v>
      </c>
      <c r="G416" t="s">
        <v>22</v>
      </c>
      <c r="H416" t="s">
        <v>28</v>
      </c>
      <c r="I416">
        <v>181.39</v>
      </c>
      <c r="J416">
        <v>3</v>
      </c>
      <c r="K416">
        <v>27.21</v>
      </c>
      <c r="L416">
        <v>571.38</v>
      </c>
      <c r="M416">
        <v>401.67</v>
      </c>
      <c r="N416">
        <v>169.71</v>
      </c>
      <c r="O416">
        <v>29.7</v>
      </c>
      <c r="P416" t="s">
        <v>35</v>
      </c>
      <c r="Q416">
        <v>9.6999999999999993</v>
      </c>
      <c r="R416" t="str">
        <f t="shared" si="6"/>
        <v>July</v>
      </c>
    </row>
    <row r="417" spans="1:18" x14ac:dyDescent="0.3">
      <c r="A417" t="s">
        <v>785</v>
      </c>
      <c r="B417">
        <v>46212</v>
      </c>
      <c r="C417" t="s">
        <v>18</v>
      </c>
      <c r="D417" t="s">
        <v>19</v>
      </c>
      <c r="E417" t="s">
        <v>20</v>
      </c>
      <c r="F417" t="s">
        <v>21</v>
      </c>
      <c r="G417" t="s">
        <v>22</v>
      </c>
      <c r="H417" t="s">
        <v>42</v>
      </c>
      <c r="I417">
        <v>326.44</v>
      </c>
      <c r="J417">
        <v>9</v>
      </c>
      <c r="K417">
        <v>146.9</v>
      </c>
      <c r="L417">
        <v>3084.86</v>
      </c>
      <c r="M417">
        <v>2491.09</v>
      </c>
      <c r="N417">
        <v>593.77</v>
      </c>
      <c r="O417">
        <v>19.25</v>
      </c>
      <c r="P417" t="s">
        <v>46</v>
      </c>
      <c r="Q417">
        <v>7.4</v>
      </c>
      <c r="R417" t="str">
        <f t="shared" si="6"/>
        <v>July</v>
      </c>
    </row>
    <row r="418" spans="1:18" x14ac:dyDescent="0.3">
      <c r="A418" t="s">
        <v>786</v>
      </c>
      <c r="B418">
        <v>46212</v>
      </c>
      <c r="C418" t="s">
        <v>465</v>
      </c>
      <c r="D418" t="s">
        <v>32</v>
      </c>
      <c r="E418" t="s">
        <v>32</v>
      </c>
      <c r="F418" t="s">
        <v>33</v>
      </c>
      <c r="G418" t="s">
        <v>27</v>
      </c>
      <c r="H418" t="s">
        <v>45</v>
      </c>
      <c r="I418">
        <v>139.75</v>
      </c>
      <c r="J418">
        <v>4</v>
      </c>
      <c r="K418">
        <v>27.95</v>
      </c>
      <c r="L418">
        <v>586.95000000000005</v>
      </c>
      <c r="M418">
        <v>392.89</v>
      </c>
      <c r="N418">
        <v>194.06</v>
      </c>
      <c r="O418">
        <v>33.06</v>
      </c>
      <c r="P418" t="s">
        <v>24</v>
      </c>
      <c r="Q418">
        <v>9</v>
      </c>
      <c r="R418" t="str">
        <f t="shared" si="6"/>
        <v>July</v>
      </c>
    </row>
    <row r="419" spans="1:18" x14ac:dyDescent="0.3">
      <c r="A419" t="s">
        <v>787</v>
      </c>
      <c r="B419">
        <v>46213</v>
      </c>
      <c r="C419" t="s">
        <v>519</v>
      </c>
      <c r="D419" t="s">
        <v>41</v>
      </c>
      <c r="E419" t="s">
        <v>20</v>
      </c>
      <c r="F419" t="s">
        <v>33</v>
      </c>
      <c r="G419" t="s">
        <v>27</v>
      </c>
      <c r="H419" t="s">
        <v>34</v>
      </c>
      <c r="I419">
        <v>65.98</v>
      </c>
      <c r="J419">
        <v>8</v>
      </c>
      <c r="K419">
        <v>26.39</v>
      </c>
      <c r="L419">
        <v>554.23</v>
      </c>
      <c r="M419">
        <v>391.54</v>
      </c>
      <c r="N419">
        <v>162.69</v>
      </c>
      <c r="O419">
        <v>29.35</v>
      </c>
      <c r="P419" t="s">
        <v>38</v>
      </c>
      <c r="Q419">
        <v>7.2</v>
      </c>
      <c r="R419" t="str">
        <f t="shared" si="6"/>
        <v>July</v>
      </c>
    </row>
    <row r="420" spans="1:18" x14ac:dyDescent="0.3">
      <c r="A420" t="s">
        <v>788</v>
      </c>
      <c r="B420">
        <v>46214</v>
      </c>
      <c r="C420" t="s">
        <v>789</v>
      </c>
      <c r="D420" t="s">
        <v>19</v>
      </c>
      <c r="E420" t="s">
        <v>20</v>
      </c>
      <c r="F420" t="s">
        <v>21</v>
      </c>
      <c r="G420" t="s">
        <v>22</v>
      </c>
      <c r="H420" t="s">
        <v>45</v>
      </c>
      <c r="I420">
        <v>223.16</v>
      </c>
      <c r="J420">
        <v>6</v>
      </c>
      <c r="K420">
        <v>66.95</v>
      </c>
      <c r="L420">
        <v>1405.91</v>
      </c>
      <c r="M420">
        <v>985.29</v>
      </c>
      <c r="N420">
        <v>420.62</v>
      </c>
      <c r="O420">
        <v>29.92</v>
      </c>
      <c r="P420" t="s">
        <v>35</v>
      </c>
      <c r="Q420">
        <v>8</v>
      </c>
      <c r="R420" t="str">
        <f t="shared" si="6"/>
        <v>July</v>
      </c>
    </row>
    <row r="421" spans="1:18" x14ac:dyDescent="0.3">
      <c r="A421" t="s">
        <v>790</v>
      </c>
      <c r="B421">
        <v>46215</v>
      </c>
      <c r="C421" t="s">
        <v>343</v>
      </c>
      <c r="D421" t="s">
        <v>19</v>
      </c>
      <c r="E421" t="s">
        <v>20</v>
      </c>
      <c r="F421" t="s">
        <v>33</v>
      </c>
      <c r="G421" t="s">
        <v>22</v>
      </c>
      <c r="H421" t="s">
        <v>52</v>
      </c>
      <c r="I421">
        <v>74.319999999999993</v>
      </c>
      <c r="J421">
        <v>3</v>
      </c>
      <c r="K421">
        <v>11.15</v>
      </c>
      <c r="L421">
        <v>234.11</v>
      </c>
      <c r="M421">
        <v>180.9</v>
      </c>
      <c r="N421">
        <v>53.21</v>
      </c>
      <c r="O421">
        <v>22.73</v>
      </c>
      <c r="P421" t="s">
        <v>35</v>
      </c>
      <c r="Q421">
        <v>5.4</v>
      </c>
      <c r="R421" t="str">
        <f t="shared" si="6"/>
        <v>July</v>
      </c>
    </row>
    <row r="422" spans="1:18" x14ac:dyDescent="0.3">
      <c r="A422" t="s">
        <v>791</v>
      </c>
      <c r="B422">
        <v>46216</v>
      </c>
      <c r="C422" t="s">
        <v>792</v>
      </c>
      <c r="D422" t="s">
        <v>19</v>
      </c>
      <c r="E422" t="s">
        <v>20</v>
      </c>
      <c r="F422" t="s">
        <v>21</v>
      </c>
      <c r="G422" t="s">
        <v>27</v>
      </c>
      <c r="H422" t="s">
        <v>72</v>
      </c>
      <c r="I422">
        <v>183.88</v>
      </c>
      <c r="J422">
        <v>10</v>
      </c>
      <c r="K422">
        <v>91.94</v>
      </c>
      <c r="L422">
        <v>1930.74</v>
      </c>
      <c r="M422">
        <v>1489.5</v>
      </c>
      <c r="N422">
        <v>441.24</v>
      </c>
      <c r="O422">
        <v>22.85</v>
      </c>
      <c r="P422" t="s">
        <v>38</v>
      </c>
      <c r="Q422">
        <v>7.3</v>
      </c>
      <c r="R422" t="str">
        <f t="shared" si="6"/>
        <v>July</v>
      </c>
    </row>
    <row r="423" spans="1:18" x14ac:dyDescent="0.3">
      <c r="A423" t="s">
        <v>793</v>
      </c>
      <c r="B423">
        <v>46216</v>
      </c>
      <c r="C423" t="s">
        <v>794</v>
      </c>
      <c r="D423" t="s">
        <v>19</v>
      </c>
      <c r="E423" t="s">
        <v>20</v>
      </c>
      <c r="F423" t="s">
        <v>21</v>
      </c>
      <c r="G423" t="s">
        <v>27</v>
      </c>
      <c r="H423" t="s">
        <v>42</v>
      </c>
      <c r="J423">
        <v>3</v>
      </c>
      <c r="K423">
        <v>56.44</v>
      </c>
      <c r="L423">
        <v>1185.28</v>
      </c>
      <c r="M423">
        <v>915.6</v>
      </c>
      <c r="N423">
        <v>269.68</v>
      </c>
      <c r="O423">
        <v>22.75</v>
      </c>
      <c r="P423" t="s">
        <v>38</v>
      </c>
      <c r="Q423">
        <v>5.2</v>
      </c>
      <c r="R423" t="str">
        <f t="shared" si="6"/>
        <v>July</v>
      </c>
    </row>
    <row r="424" spans="1:18" x14ac:dyDescent="0.3">
      <c r="A424" t="s">
        <v>795</v>
      </c>
      <c r="B424">
        <v>46217</v>
      </c>
      <c r="C424" t="s">
        <v>796</v>
      </c>
      <c r="D424" t="s">
        <v>32</v>
      </c>
      <c r="E424" t="s">
        <v>32</v>
      </c>
      <c r="F424" t="s">
        <v>21</v>
      </c>
      <c r="G424" t="s">
        <v>22</v>
      </c>
      <c r="H424" t="s">
        <v>99</v>
      </c>
      <c r="I424">
        <v>91.35</v>
      </c>
      <c r="J424">
        <v>8</v>
      </c>
      <c r="K424">
        <v>36.54</v>
      </c>
      <c r="L424">
        <v>767.34</v>
      </c>
      <c r="M424">
        <v>557.63</v>
      </c>
      <c r="N424">
        <v>209.71</v>
      </c>
      <c r="O424">
        <v>27.33</v>
      </c>
      <c r="P424" t="s">
        <v>38</v>
      </c>
      <c r="Q424">
        <v>10</v>
      </c>
      <c r="R424" t="str">
        <f t="shared" si="6"/>
        <v>July</v>
      </c>
    </row>
    <row r="425" spans="1:18" x14ac:dyDescent="0.3">
      <c r="A425" t="s">
        <v>797</v>
      </c>
      <c r="B425">
        <v>46217</v>
      </c>
      <c r="C425" t="s">
        <v>798</v>
      </c>
      <c r="D425" t="s">
        <v>59</v>
      </c>
      <c r="E425" t="s">
        <v>59</v>
      </c>
      <c r="F425" t="s">
        <v>21</v>
      </c>
      <c r="G425" t="s">
        <v>22</v>
      </c>
      <c r="H425" t="s">
        <v>72</v>
      </c>
      <c r="I425">
        <v>200.42</v>
      </c>
      <c r="J425">
        <v>9</v>
      </c>
      <c r="K425">
        <v>90.19</v>
      </c>
      <c r="L425">
        <v>1893.97</v>
      </c>
      <c r="M425">
        <v>1388.17</v>
      </c>
      <c r="N425">
        <v>505.8</v>
      </c>
      <c r="O425">
        <v>26.71</v>
      </c>
      <c r="P425" t="s">
        <v>46</v>
      </c>
      <c r="Q425">
        <v>6.9</v>
      </c>
      <c r="R425" t="str">
        <f t="shared" si="6"/>
        <v>July</v>
      </c>
    </row>
    <row r="426" spans="1:18" x14ac:dyDescent="0.3">
      <c r="A426" t="s">
        <v>799</v>
      </c>
      <c r="B426">
        <v>46218</v>
      </c>
      <c r="C426" t="s">
        <v>668</v>
      </c>
      <c r="D426" t="s">
        <v>19</v>
      </c>
      <c r="E426" t="s">
        <v>20</v>
      </c>
      <c r="F426" t="s">
        <v>21</v>
      </c>
      <c r="G426" t="s">
        <v>22</v>
      </c>
      <c r="H426" t="s">
        <v>45</v>
      </c>
      <c r="I426">
        <v>230.35</v>
      </c>
      <c r="J426">
        <v>2</v>
      </c>
      <c r="K426">
        <v>23.04</v>
      </c>
      <c r="L426">
        <v>483.74</v>
      </c>
      <c r="M426">
        <v>331.97</v>
      </c>
      <c r="N426">
        <v>151.77000000000001</v>
      </c>
      <c r="O426">
        <v>31.37</v>
      </c>
      <c r="P426" t="s">
        <v>46</v>
      </c>
      <c r="Q426">
        <v>7.8</v>
      </c>
      <c r="R426" t="str">
        <f t="shared" si="6"/>
        <v>July</v>
      </c>
    </row>
    <row r="427" spans="1:18" x14ac:dyDescent="0.3">
      <c r="A427" t="s">
        <v>800</v>
      </c>
      <c r="B427">
        <v>46219</v>
      </c>
      <c r="C427" t="s">
        <v>475</v>
      </c>
      <c r="D427" t="s">
        <v>41</v>
      </c>
      <c r="E427" t="s">
        <v>20</v>
      </c>
      <c r="F427" t="s">
        <v>21</v>
      </c>
      <c r="G427" t="s">
        <v>27</v>
      </c>
      <c r="H427" t="s">
        <v>52</v>
      </c>
      <c r="I427">
        <v>53.63</v>
      </c>
      <c r="J427">
        <v>7</v>
      </c>
      <c r="K427">
        <v>18.77</v>
      </c>
      <c r="L427">
        <v>394.18</v>
      </c>
      <c r="M427">
        <v>263.83</v>
      </c>
      <c r="N427">
        <v>130.35</v>
      </c>
      <c r="O427">
        <v>33.07</v>
      </c>
      <c r="P427" t="s">
        <v>46</v>
      </c>
      <c r="Q427">
        <v>8.1</v>
      </c>
      <c r="R427" t="str">
        <f t="shared" si="6"/>
        <v>July</v>
      </c>
    </row>
    <row r="428" spans="1:18" x14ac:dyDescent="0.3">
      <c r="A428" t="s">
        <v>801</v>
      </c>
      <c r="B428">
        <v>46219</v>
      </c>
      <c r="C428" t="s">
        <v>802</v>
      </c>
      <c r="D428" t="s">
        <v>51</v>
      </c>
      <c r="E428" t="s">
        <v>51</v>
      </c>
      <c r="F428" t="s">
        <v>21</v>
      </c>
      <c r="G428" t="s">
        <v>27</v>
      </c>
      <c r="H428" t="s">
        <v>72</v>
      </c>
      <c r="I428">
        <v>214.51</v>
      </c>
      <c r="J428">
        <v>7</v>
      </c>
      <c r="K428">
        <v>75.08</v>
      </c>
      <c r="L428">
        <v>1576.65</v>
      </c>
      <c r="M428">
        <v>1107.31</v>
      </c>
      <c r="N428">
        <v>469.34</v>
      </c>
      <c r="O428">
        <v>29.77</v>
      </c>
      <c r="P428" t="s">
        <v>38</v>
      </c>
      <c r="Q428">
        <v>6.8</v>
      </c>
      <c r="R428" t="str">
        <f t="shared" si="6"/>
        <v>July</v>
      </c>
    </row>
    <row r="429" spans="1:18" x14ac:dyDescent="0.3">
      <c r="A429" t="s">
        <v>803</v>
      </c>
      <c r="B429">
        <v>46219</v>
      </c>
      <c r="C429" t="s">
        <v>804</v>
      </c>
      <c r="D429" t="s">
        <v>59</v>
      </c>
      <c r="E429" t="s">
        <v>59</v>
      </c>
      <c r="F429" t="s">
        <v>21</v>
      </c>
      <c r="G429" t="s">
        <v>22</v>
      </c>
      <c r="H429" t="s">
        <v>45</v>
      </c>
      <c r="I429">
        <v>182.83</v>
      </c>
      <c r="J429">
        <v>7</v>
      </c>
      <c r="K429">
        <v>63.99</v>
      </c>
      <c r="L429">
        <v>1343.8</v>
      </c>
      <c r="M429">
        <v>1046.69</v>
      </c>
      <c r="N429">
        <v>297.11</v>
      </c>
      <c r="O429">
        <v>22.11</v>
      </c>
      <c r="P429" t="s">
        <v>46</v>
      </c>
      <c r="Q429">
        <v>7.2</v>
      </c>
      <c r="R429" t="str">
        <f t="shared" si="6"/>
        <v>July</v>
      </c>
    </row>
    <row r="430" spans="1:18" x14ac:dyDescent="0.3">
      <c r="A430" t="s">
        <v>805</v>
      </c>
      <c r="B430">
        <v>46219</v>
      </c>
      <c r="C430" t="s">
        <v>806</v>
      </c>
      <c r="D430" t="s">
        <v>59</v>
      </c>
      <c r="E430" t="s">
        <v>59</v>
      </c>
      <c r="F430" t="s">
        <v>21</v>
      </c>
      <c r="G430" t="s">
        <v>27</v>
      </c>
      <c r="H430" t="s">
        <v>28</v>
      </c>
      <c r="I430">
        <v>174.58</v>
      </c>
      <c r="J430">
        <v>4</v>
      </c>
      <c r="K430">
        <v>34.92</v>
      </c>
      <c r="L430">
        <v>733.24</v>
      </c>
      <c r="M430">
        <v>528.80999999999995</v>
      </c>
      <c r="N430">
        <v>204.43</v>
      </c>
      <c r="O430">
        <v>27.88</v>
      </c>
      <c r="P430" t="s">
        <v>24</v>
      </c>
      <c r="Q430">
        <v>5.8</v>
      </c>
      <c r="R430" t="str">
        <f t="shared" si="6"/>
        <v>July</v>
      </c>
    </row>
    <row r="431" spans="1:18" x14ac:dyDescent="0.3">
      <c r="A431" t="s">
        <v>807</v>
      </c>
      <c r="B431">
        <v>46221</v>
      </c>
      <c r="C431" t="s">
        <v>808</v>
      </c>
      <c r="D431" t="s">
        <v>59</v>
      </c>
      <c r="E431" t="s">
        <v>59</v>
      </c>
      <c r="F431" t="s">
        <v>33</v>
      </c>
      <c r="G431" t="s">
        <v>27</v>
      </c>
      <c r="H431" t="s">
        <v>42</v>
      </c>
      <c r="I431">
        <v>309.64</v>
      </c>
      <c r="J431">
        <v>3</v>
      </c>
      <c r="K431">
        <v>46.45</v>
      </c>
      <c r="L431">
        <v>975.37</v>
      </c>
      <c r="M431">
        <v>695.64</v>
      </c>
      <c r="N431">
        <v>279.73</v>
      </c>
      <c r="O431">
        <v>28.68</v>
      </c>
      <c r="P431" t="s">
        <v>38</v>
      </c>
      <c r="Q431">
        <v>5.0999999999999996</v>
      </c>
      <c r="R431" t="str">
        <f t="shared" si="6"/>
        <v>July</v>
      </c>
    </row>
    <row r="432" spans="1:18" x14ac:dyDescent="0.3">
      <c r="A432" t="s">
        <v>809</v>
      </c>
      <c r="B432">
        <v>46221</v>
      </c>
      <c r="C432" t="s">
        <v>159</v>
      </c>
      <c r="D432" t="s">
        <v>19</v>
      </c>
      <c r="E432" t="s">
        <v>20</v>
      </c>
      <c r="F432" t="s">
        <v>21</v>
      </c>
      <c r="G432" t="s">
        <v>22</v>
      </c>
      <c r="H432" t="s">
        <v>52</v>
      </c>
      <c r="I432">
        <v>115.23</v>
      </c>
      <c r="J432">
        <v>2</v>
      </c>
      <c r="K432">
        <v>11.52</v>
      </c>
      <c r="L432">
        <v>241.98</v>
      </c>
      <c r="M432">
        <v>182.62</v>
      </c>
      <c r="N432">
        <v>59.36</v>
      </c>
      <c r="O432">
        <v>24.53</v>
      </c>
      <c r="P432" t="s">
        <v>46</v>
      </c>
      <c r="Q432">
        <v>8.5</v>
      </c>
      <c r="R432" t="str">
        <f t="shared" si="6"/>
        <v>July</v>
      </c>
    </row>
    <row r="433" spans="1:18" x14ac:dyDescent="0.3">
      <c r="A433" t="s">
        <v>810</v>
      </c>
      <c r="B433">
        <v>46222</v>
      </c>
      <c r="C433" t="s">
        <v>811</v>
      </c>
      <c r="D433" t="s">
        <v>19</v>
      </c>
      <c r="E433" t="s">
        <v>20</v>
      </c>
      <c r="F433" t="s">
        <v>33</v>
      </c>
      <c r="G433" t="s">
        <v>27</v>
      </c>
      <c r="H433" t="s">
        <v>42</v>
      </c>
      <c r="I433">
        <v>278.33</v>
      </c>
      <c r="J433">
        <v>1</v>
      </c>
      <c r="K433">
        <v>13.92</v>
      </c>
      <c r="L433">
        <v>292.25</v>
      </c>
      <c r="M433">
        <v>217.97</v>
      </c>
      <c r="N433">
        <v>74.28</v>
      </c>
      <c r="O433">
        <v>25.42</v>
      </c>
      <c r="P433" t="s">
        <v>46</v>
      </c>
      <c r="Q433">
        <v>5.9</v>
      </c>
      <c r="R433" t="str">
        <f t="shared" si="6"/>
        <v>July</v>
      </c>
    </row>
    <row r="434" spans="1:18" x14ac:dyDescent="0.3">
      <c r="A434" t="s">
        <v>812</v>
      </c>
      <c r="B434">
        <v>46222</v>
      </c>
      <c r="C434" t="s">
        <v>798</v>
      </c>
      <c r="D434" t="s">
        <v>32</v>
      </c>
      <c r="E434" t="s">
        <v>32</v>
      </c>
      <c r="F434" t="s">
        <v>33</v>
      </c>
      <c r="G434" t="s">
        <v>22</v>
      </c>
      <c r="H434" t="s">
        <v>72</v>
      </c>
      <c r="I434">
        <v>212.51</v>
      </c>
      <c r="J434">
        <v>5</v>
      </c>
      <c r="K434">
        <v>53.13</v>
      </c>
      <c r="L434">
        <v>1115.68</v>
      </c>
      <c r="M434">
        <v>882.32</v>
      </c>
      <c r="N434">
        <v>233.36</v>
      </c>
      <c r="O434">
        <v>20.92</v>
      </c>
      <c r="P434" t="s">
        <v>38</v>
      </c>
      <c r="Q434">
        <v>4</v>
      </c>
      <c r="R434" t="str">
        <f t="shared" si="6"/>
        <v>July</v>
      </c>
    </row>
    <row r="435" spans="1:18" x14ac:dyDescent="0.3">
      <c r="A435" t="s">
        <v>813</v>
      </c>
      <c r="B435">
        <v>46223</v>
      </c>
      <c r="C435" t="s">
        <v>697</v>
      </c>
      <c r="D435" t="s">
        <v>19</v>
      </c>
      <c r="E435" t="s">
        <v>20</v>
      </c>
      <c r="F435" t="s">
        <v>33</v>
      </c>
      <c r="G435" t="s">
        <v>22</v>
      </c>
      <c r="H435" t="s">
        <v>99</v>
      </c>
      <c r="I435">
        <v>120.56</v>
      </c>
      <c r="J435">
        <v>1</v>
      </c>
      <c r="K435">
        <v>6.03</v>
      </c>
      <c r="L435">
        <v>126.59</v>
      </c>
      <c r="M435">
        <v>103.35</v>
      </c>
      <c r="N435">
        <v>23.24</v>
      </c>
      <c r="O435">
        <v>18.36</v>
      </c>
      <c r="P435" t="s">
        <v>35</v>
      </c>
      <c r="Q435">
        <v>10</v>
      </c>
      <c r="R435" t="str">
        <f t="shared" si="6"/>
        <v>July</v>
      </c>
    </row>
    <row r="436" spans="1:18" x14ac:dyDescent="0.3">
      <c r="A436" t="s">
        <v>814</v>
      </c>
      <c r="B436">
        <v>46224</v>
      </c>
      <c r="C436" t="s">
        <v>815</v>
      </c>
      <c r="D436" t="s">
        <v>19</v>
      </c>
      <c r="E436" t="s">
        <v>20</v>
      </c>
      <c r="F436" t="s">
        <v>21</v>
      </c>
      <c r="G436" t="s">
        <v>27</v>
      </c>
      <c r="H436" t="s">
        <v>23</v>
      </c>
      <c r="I436">
        <v>71.64</v>
      </c>
      <c r="J436">
        <v>4</v>
      </c>
      <c r="K436">
        <v>14.33</v>
      </c>
      <c r="L436">
        <v>300.89</v>
      </c>
      <c r="M436">
        <v>245.1</v>
      </c>
      <c r="N436">
        <v>55.79</v>
      </c>
      <c r="O436">
        <v>18.54</v>
      </c>
      <c r="P436" t="s">
        <v>24</v>
      </c>
      <c r="Q436">
        <v>6.9</v>
      </c>
      <c r="R436" t="str">
        <f t="shared" si="6"/>
        <v>July</v>
      </c>
    </row>
    <row r="437" spans="1:18" x14ac:dyDescent="0.3">
      <c r="A437" t="s">
        <v>816</v>
      </c>
      <c r="B437">
        <v>46224</v>
      </c>
      <c r="C437" t="s">
        <v>768</v>
      </c>
      <c r="D437" t="s">
        <v>32</v>
      </c>
      <c r="E437" t="s">
        <v>32</v>
      </c>
      <c r="F437" t="s">
        <v>33</v>
      </c>
      <c r="G437" t="s">
        <v>22</v>
      </c>
      <c r="H437" t="s">
        <v>34</v>
      </c>
      <c r="I437">
        <v>46</v>
      </c>
      <c r="J437">
        <v>3</v>
      </c>
      <c r="K437">
        <v>6.9</v>
      </c>
      <c r="L437">
        <v>144.9</v>
      </c>
      <c r="M437">
        <v>96.99</v>
      </c>
      <c r="N437">
        <v>47.91</v>
      </c>
      <c r="O437">
        <v>33.06</v>
      </c>
      <c r="P437" t="s">
        <v>46</v>
      </c>
      <c r="Q437">
        <v>5.8</v>
      </c>
      <c r="R437" t="str">
        <f t="shared" si="6"/>
        <v>July</v>
      </c>
    </row>
    <row r="438" spans="1:18" x14ac:dyDescent="0.3">
      <c r="A438" t="s">
        <v>817</v>
      </c>
      <c r="B438">
        <v>46225</v>
      </c>
      <c r="C438" t="s">
        <v>469</v>
      </c>
      <c r="D438" t="s">
        <v>51</v>
      </c>
      <c r="E438" t="s">
        <v>51</v>
      </c>
      <c r="F438" t="s">
        <v>33</v>
      </c>
      <c r="G438" t="s">
        <v>22</v>
      </c>
      <c r="H438" t="s">
        <v>28</v>
      </c>
      <c r="I438">
        <v>119.66</v>
      </c>
      <c r="J438">
        <v>3</v>
      </c>
      <c r="K438">
        <v>17.95</v>
      </c>
      <c r="L438">
        <v>376.93</v>
      </c>
      <c r="M438">
        <v>299.27</v>
      </c>
      <c r="N438">
        <v>77.66</v>
      </c>
      <c r="O438">
        <v>20.6</v>
      </c>
      <c r="P438" t="s">
        <v>29</v>
      </c>
      <c r="Q438">
        <v>6.2</v>
      </c>
      <c r="R438" t="str">
        <f t="shared" si="6"/>
        <v>July</v>
      </c>
    </row>
    <row r="439" spans="1:18" x14ac:dyDescent="0.3">
      <c r="A439" t="s">
        <v>818</v>
      </c>
      <c r="B439">
        <v>46225</v>
      </c>
      <c r="C439" t="s">
        <v>609</v>
      </c>
      <c r="D439" t="s">
        <v>51</v>
      </c>
      <c r="E439" t="s">
        <v>51</v>
      </c>
      <c r="F439" t="s">
        <v>33</v>
      </c>
      <c r="G439" t="s">
        <v>22</v>
      </c>
      <c r="H439" t="s">
        <v>72</v>
      </c>
      <c r="I439">
        <v>231.76</v>
      </c>
      <c r="J439">
        <v>10</v>
      </c>
      <c r="K439">
        <v>115.88</v>
      </c>
      <c r="L439">
        <v>2433.48</v>
      </c>
      <c r="M439">
        <v>1790.16</v>
      </c>
      <c r="N439">
        <v>643.32000000000005</v>
      </c>
      <c r="O439">
        <v>26.44</v>
      </c>
      <c r="P439" t="s">
        <v>46</v>
      </c>
      <c r="Q439">
        <v>5.8</v>
      </c>
      <c r="R439" t="str">
        <f t="shared" si="6"/>
        <v>July</v>
      </c>
    </row>
    <row r="440" spans="1:18" x14ac:dyDescent="0.3">
      <c r="A440" t="s">
        <v>819</v>
      </c>
      <c r="B440">
        <v>46227</v>
      </c>
      <c r="C440" t="s">
        <v>820</v>
      </c>
      <c r="D440" t="s">
        <v>41</v>
      </c>
      <c r="E440" t="s">
        <v>20</v>
      </c>
      <c r="F440" t="s">
        <v>33</v>
      </c>
      <c r="G440" t="s">
        <v>27</v>
      </c>
      <c r="H440" t="s">
        <v>45</v>
      </c>
      <c r="I440">
        <v>260.45999999999998</v>
      </c>
      <c r="J440">
        <v>3</v>
      </c>
      <c r="K440">
        <v>39.07</v>
      </c>
      <c r="L440">
        <v>820.45</v>
      </c>
      <c r="M440">
        <v>618.92999999999995</v>
      </c>
      <c r="N440">
        <v>201.52</v>
      </c>
      <c r="O440">
        <v>24.56</v>
      </c>
      <c r="P440" t="s">
        <v>29</v>
      </c>
      <c r="Q440">
        <v>8.6</v>
      </c>
      <c r="R440" t="str">
        <f t="shared" si="6"/>
        <v>July</v>
      </c>
    </row>
    <row r="441" spans="1:18" x14ac:dyDescent="0.3">
      <c r="A441" t="s">
        <v>821</v>
      </c>
      <c r="B441">
        <v>46229</v>
      </c>
      <c r="C441" t="s">
        <v>742</v>
      </c>
      <c r="D441" t="s">
        <v>19</v>
      </c>
      <c r="E441" t="s">
        <v>20</v>
      </c>
      <c r="F441" t="s">
        <v>33</v>
      </c>
      <c r="G441" t="s">
        <v>27</v>
      </c>
      <c r="H441" t="s">
        <v>45</v>
      </c>
      <c r="I441">
        <v>143.05000000000001</v>
      </c>
      <c r="J441">
        <v>3</v>
      </c>
      <c r="K441">
        <v>21.46</v>
      </c>
      <c r="L441">
        <v>450.61</v>
      </c>
      <c r="M441">
        <v>354.99</v>
      </c>
      <c r="N441">
        <v>95.62</v>
      </c>
      <c r="O441">
        <v>21.22</v>
      </c>
      <c r="P441" t="s">
        <v>29</v>
      </c>
      <c r="Q441">
        <v>6.6</v>
      </c>
      <c r="R441" t="str">
        <f t="shared" si="6"/>
        <v>July</v>
      </c>
    </row>
    <row r="442" spans="1:18" x14ac:dyDescent="0.3">
      <c r="A442" t="s">
        <v>822</v>
      </c>
      <c r="B442">
        <v>46229</v>
      </c>
      <c r="C442" t="s">
        <v>823</v>
      </c>
      <c r="D442" t="s">
        <v>59</v>
      </c>
      <c r="E442" t="s">
        <v>59</v>
      </c>
      <c r="F442" t="s">
        <v>21</v>
      </c>
      <c r="G442" t="s">
        <v>22</v>
      </c>
      <c r="H442" t="s">
        <v>45</v>
      </c>
      <c r="I442">
        <v>181.93</v>
      </c>
      <c r="J442">
        <v>8</v>
      </c>
      <c r="K442">
        <v>72.77</v>
      </c>
      <c r="L442">
        <v>1528.21</v>
      </c>
      <c r="M442">
        <v>1265.27</v>
      </c>
      <c r="N442">
        <v>262.94</v>
      </c>
      <c r="O442">
        <v>17.21</v>
      </c>
      <c r="P442" t="s">
        <v>29</v>
      </c>
      <c r="Q442">
        <v>9.1</v>
      </c>
      <c r="R442" t="str">
        <f t="shared" si="6"/>
        <v>July</v>
      </c>
    </row>
    <row r="443" spans="1:18" x14ac:dyDescent="0.3">
      <c r="A443" t="s">
        <v>824</v>
      </c>
      <c r="B443">
        <v>46230</v>
      </c>
      <c r="C443" t="s">
        <v>724</v>
      </c>
      <c r="D443" t="s">
        <v>41</v>
      </c>
      <c r="E443" t="s">
        <v>20</v>
      </c>
      <c r="F443" t="s">
        <v>33</v>
      </c>
      <c r="G443" t="s">
        <v>27</v>
      </c>
      <c r="H443" t="s">
        <v>34</v>
      </c>
      <c r="I443">
        <v>101.16</v>
      </c>
      <c r="J443">
        <v>4</v>
      </c>
      <c r="K443">
        <v>20.23</v>
      </c>
      <c r="L443">
        <v>424.87</v>
      </c>
      <c r="M443">
        <v>346</v>
      </c>
      <c r="N443">
        <v>78.87</v>
      </c>
      <c r="O443">
        <v>18.559999999999999</v>
      </c>
      <c r="P443" t="s">
        <v>46</v>
      </c>
      <c r="Q443">
        <v>7.9</v>
      </c>
      <c r="R443" t="str">
        <f t="shared" si="6"/>
        <v>July</v>
      </c>
    </row>
    <row r="444" spans="1:18" x14ac:dyDescent="0.3">
      <c r="A444" t="s">
        <v>825</v>
      </c>
      <c r="B444">
        <v>46230</v>
      </c>
      <c r="C444" t="s">
        <v>710</v>
      </c>
      <c r="D444" t="s">
        <v>41</v>
      </c>
      <c r="E444" t="s">
        <v>20</v>
      </c>
      <c r="F444" t="s">
        <v>33</v>
      </c>
      <c r="G444" t="s">
        <v>22</v>
      </c>
      <c r="H444" t="s">
        <v>34</v>
      </c>
      <c r="I444">
        <v>74.08</v>
      </c>
      <c r="J444">
        <v>1</v>
      </c>
      <c r="K444">
        <v>3.7</v>
      </c>
      <c r="L444">
        <v>77.78</v>
      </c>
      <c r="M444">
        <v>64.3</v>
      </c>
      <c r="N444">
        <v>13.48</v>
      </c>
      <c r="O444">
        <v>17.329999999999998</v>
      </c>
      <c r="P444" t="s">
        <v>46</v>
      </c>
      <c r="Q444">
        <v>6.3</v>
      </c>
      <c r="R444" t="str">
        <f t="shared" si="6"/>
        <v>July</v>
      </c>
    </row>
    <row r="445" spans="1:18" x14ac:dyDescent="0.3">
      <c r="A445" t="s">
        <v>826</v>
      </c>
      <c r="B445">
        <v>46231</v>
      </c>
      <c r="C445" t="s">
        <v>827</v>
      </c>
      <c r="D445" t="s">
        <v>59</v>
      </c>
      <c r="E445" t="s">
        <v>59</v>
      </c>
      <c r="F445" t="s">
        <v>33</v>
      </c>
      <c r="G445" t="s">
        <v>22</v>
      </c>
      <c r="H445" t="s">
        <v>34</v>
      </c>
      <c r="I445">
        <v>75.91</v>
      </c>
      <c r="J445">
        <v>9</v>
      </c>
      <c r="K445">
        <v>34.159999999999997</v>
      </c>
      <c r="L445">
        <v>717.35</v>
      </c>
      <c r="M445">
        <v>596.1</v>
      </c>
      <c r="N445">
        <v>121.25</v>
      </c>
      <c r="O445">
        <v>16.899999999999999</v>
      </c>
      <c r="P445" t="s">
        <v>46</v>
      </c>
      <c r="Q445">
        <v>7.3</v>
      </c>
      <c r="R445" t="str">
        <f t="shared" si="6"/>
        <v>July</v>
      </c>
    </row>
    <row r="446" spans="1:18" x14ac:dyDescent="0.3">
      <c r="A446" t="s">
        <v>828</v>
      </c>
      <c r="B446">
        <v>46231</v>
      </c>
      <c r="C446" t="s">
        <v>528</v>
      </c>
      <c r="D446" t="s">
        <v>19</v>
      </c>
      <c r="E446" t="s">
        <v>20</v>
      </c>
      <c r="F446" t="s">
        <v>33</v>
      </c>
      <c r="G446" t="s">
        <v>27</v>
      </c>
      <c r="H446" t="s">
        <v>28</v>
      </c>
      <c r="I446">
        <v>111.3</v>
      </c>
      <c r="J446">
        <v>8</v>
      </c>
      <c r="K446">
        <v>44.52</v>
      </c>
      <c r="L446">
        <v>934.92</v>
      </c>
      <c r="M446">
        <v>774.68</v>
      </c>
      <c r="N446">
        <v>160.24</v>
      </c>
      <c r="O446">
        <v>17.14</v>
      </c>
      <c r="P446" t="s">
        <v>38</v>
      </c>
      <c r="Q446">
        <v>8.5</v>
      </c>
      <c r="R446" t="str">
        <f t="shared" si="6"/>
        <v>July</v>
      </c>
    </row>
    <row r="447" spans="1:18" x14ac:dyDescent="0.3">
      <c r="A447" t="s">
        <v>829</v>
      </c>
      <c r="B447">
        <v>46232</v>
      </c>
      <c r="C447" t="s">
        <v>778</v>
      </c>
      <c r="D447" t="s">
        <v>41</v>
      </c>
      <c r="E447" t="s">
        <v>20</v>
      </c>
      <c r="F447" t="s">
        <v>21</v>
      </c>
      <c r="G447" t="s">
        <v>22</v>
      </c>
      <c r="H447" t="s">
        <v>28</v>
      </c>
      <c r="I447">
        <v>195.6</v>
      </c>
      <c r="J447">
        <v>3</v>
      </c>
      <c r="K447">
        <v>29.34</v>
      </c>
      <c r="L447">
        <v>616.14</v>
      </c>
      <c r="M447">
        <v>454.26</v>
      </c>
      <c r="N447">
        <v>161.88</v>
      </c>
      <c r="O447">
        <v>26.27</v>
      </c>
      <c r="P447" t="s">
        <v>38</v>
      </c>
      <c r="Q447">
        <v>9.3000000000000007</v>
      </c>
      <c r="R447" t="str">
        <f t="shared" si="6"/>
        <v>July</v>
      </c>
    </row>
    <row r="448" spans="1:18" x14ac:dyDescent="0.3">
      <c r="A448" t="s">
        <v>830</v>
      </c>
      <c r="B448">
        <v>46232</v>
      </c>
      <c r="C448" t="s">
        <v>486</v>
      </c>
      <c r="D448" t="s">
        <v>59</v>
      </c>
      <c r="E448" t="s">
        <v>59</v>
      </c>
      <c r="F448" t="s">
        <v>33</v>
      </c>
      <c r="G448" t="s">
        <v>27</v>
      </c>
      <c r="H448" t="s">
        <v>28</v>
      </c>
      <c r="I448">
        <v>108.52</v>
      </c>
      <c r="J448">
        <v>5</v>
      </c>
      <c r="K448">
        <v>27.13</v>
      </c>
      <c r="L448">
        <v>569.73</v>
      </c>
      <c r="M448">
        <v>429.85</v>
      </c>
      <c r="N448">
        <v>139.88</v>
      </c>
      <c r="O448">
        <v>24.55</v>
      </c>
      <c r="P448" t="s">
        <v>46</v>
      </c>
      <c r="Q448">
        <v>7.3</v>
      </c>
      <c r="R448" t="str">
        <f t="shared" si="6"/>
        <v>July</v>
      </c>
    </row>
    <row r="449" spans="1:18" x14ac:dyDescent="0.3">
      <c r="A449" t="s">
        <v>831</v>
      </c>
      <c r="B449">
        <v>46232</v>
      </c>
      <c r="C449" t="s">
        <v>832</v>
      </c>
      <c r="D449" t="s">
        <v>59</v>
      </c>
      <c r="E449" t="s">
        <v>59</v>
      </c>
      <c r="F449" t="s">
        <v>33</v>
      </c>
      <c r="G449" t="s">
        <v>22</v>
      </c>
      <c r="H449" t="s">
        <v>52</v>
      </c>
      <c r="I449">
        <v>57.71</v>
      </c>
      <c r="J449">
        <v>5</v>
      </c>
      <c r="K449">
        <v>14.43</v>
      </c>
      <c r="L449">
        <v>302.98</v>
      </c>
      <c r="M449">
        <v>230.65</v>
      </c>
      <c r="N449">
        <v>72.33</v>
      </c>
      <c r="O449">
        <v>23.87</v>
      </c>
      <c r="P449" t="s">
        <v>29</v>
      </c>
      <c r="Q449">
        <v>6.1</v>
      </c>
      <c r="R449" t="str">
        <f t="shared" si="6"/>
        <v>July</v>
      </c>
    </row>
    <row r="450" spans="1:18" x14ac:dyDescent="0.3">
      <c r="A450" t="s">
        <v>833</v>
      </c>
      <c r="B450">
        <v>46233</v>
      </c>
      <c r="C450" t="s">
        <v>834</v>
      </c>
      <c r="D450" t="s">
        <v>19</v>
      </c>
      <c r="E450" t="s">
        <v>20</v>
      </c>
      <c r="F450" t="s">
        <v>21</v>
      </c>
      <c r="G450" t="s">
        <v>22</v>
      </c>
      <c r="H450" t="s">
        <v>28</v>
      </c>
      <c r="I450">
        <v>167.48</v>
      </c>
      <c r="J450">
        <v>9</v>
      </c>
      <c r="K450">
        <v>75.37</v>
      </c>
      <c r="L450">
        <v>1582.69</v>
      </c>
      <c r="M450">
        <v>1094.3</v>
      </c>
      <c r="N450">
        <v>488.39</v>
      </c>
      <c r="O450">
        <v>30.86</v>
      </c>
      <c r="P450" t="s">
        <v>46</v>
      </c>
      <c r="Q450">
        <v>10</v>
      </c>
      <c r="R450" t="str">
        <f t="shared" si="6"/>
        <v>July</v>
      </c>
    </row>
    <row r="451" spans="1:18" x14ac:dyDescent="0.3">
      <c r="A451" t="s">
        <v>835</v>
      </c>
      <c r="B451">
        <v>46233</v>
      </c>
      <c r="C451" t="s">
        <v>836</v>
      </c>
      <c r="D451" t="s">
        <v>32</v>
      </c>
      <c r="E451" t="s">
        <v>32</v>
      </c>
      <c r="F451" t="s">
        <v>33</v>
      </c>
      <c r="G451" t="s">
        <v>22</v>
      </c>
      <c r="H451" t="s">
        <v>99</v>
      </c>
      <c r="I451">
        <v>101.37</v>
      </c>
      <c r="J451">
        <v>2</v>
      </c>
      <c r="K451">
        <v>10.14</v>
      </c>
      <c r="L451">
        <v>212.88</v>
      </c>
      <c r="M451">
        <v>171.76</v>
      </c>
      <c r="N451">
        <v>41.12</v>
      </c>
      <c r="O451">
        <v>19.32</v>
      </c>
      <c r="P451" t="s">
        <v>24</v>
      </c>
      <c r="Q451">
        <v>7.6</v>
      </c>
      <c r="R451" t="str">
        <f t="shared" ref="R451:R502" si="7">TEXT(B451,"mmmm")</f>
        <v>July</v>
      </c>
    </row>
    <row r="452" spans="1:18" x14ac:dyDescent="0.3">
      <c r="A452" t="s">
        <v>837</v>
      </c>
      <c r="B452">
        <v>46234</v>
      </c>
      <c r="C452" t="s">
        <v>365</v>
      </c>
      <c r="D452" t="s">
        <v>51</v>
      </c>
      <c r="E452" t="s">
        <v>51</v>
      </c>
      <c r="F452" t="s">
        <v>33</v>
      </c>
      <c r="G452" t="s">
        <v>27</v>
      </c>
      <c r="H452" t="s">
        <v>42</v>
      </c>
      <c r="I452">
        <v>452.75</v>
      </c>
      <c r="J452">
        <v>8</v>
      </c>
      <c r="K452">
        <v>181.1</v>
      </c>
      <c r="L452">
        <v>3803.1</v>
      </c>
      <c r="M452">
        <v>3015.39</v>
      </c>
      <c r="N452">
        <v>787.71</v>
      </c>
      <c r="O452">
        <v>20.71</v>
      </c>
      <c r="P452" t="s">
        <v>46</v>
      </c>
      <c r="Q452">
        <v>7.5</v>
      </c>
      <c r="R452" t="str">
        <f t="shared" si="7"/>
        <v>July</v>
      </c>
    </row>
    <row r="453" spans="1:18" x14ac:dyDescent="0.3">
      <c r="A453" t="s">
        <v>838</v>
      </c>
      <c r="B453">
        <v>46236</v>
      </c>
      <c r="C453" t="s">
        <v>839</v>
      </c>
      <c r="D453" t="s">
        <v>32</v>
      </c>
      <c r="E453" t="s">
        <v>32</v>
      </c>
      <c r="F453" t="s">
        <v>21</v>
      </c>
      <c r="G453" t="s">
        <v>22</v>
      </c>
      <c r="H453" t="s">
        <v>72</v>
      </c>
      <c r="I453">
        <v>130.94999999999999</v>
      </c>
      <c r="J453">
        <v>6</v>
      </c>
      <c r="K453">
        <v>39.28</v>
      </c>
      <c r="L453">
        <v>824.98</v>
      </c>
      <c r="M453">
        <v>619.88</v>
      </c>
      <c r="N453">
        <v>205.1</v>
      </c>
      <c r="O453">
        <v>24.86</v>
      </c>
      <c r="P453" t="s">
        <v>38</v>
      </c>
      <c r="Q453">
        <v>6</v>
      </c>
      <c r="R453" t="str">
        <f t="shared" si="7"/>
        <v>August</v>
      </c>
    </row>
    <row r="454" spans="1:18" x14ac:dyDescent="0.3">
      <c r="A454" t="s">
        <v>840</v>
      </c>
      <c r="B454">
        <v>46236</v>
      </c>
      <c r="C454" t="s">
        <v>841</v>
      </c>
      <c r="D454" t="s">
        <v>41</v>
      </c>
      <c r="E454" t="s">
        <v>20</v>
      </c>
      <c r="F454" t="s">
        <v>33</v>
      </c>
      <c r="G454" t="s">
        <v>22</v>
      </c>
      <c r="H454" t="s">
        <v>72</v>
      </c>
      <c r="I454">
        <v>235</v>
      </c>
      <c r="J454">
        <v>9</v>
      </c>
      <c r="K454">
        <v>105.75</v>
      </c>
      <c r="L454">
        <v>2220.75</v>
      </c>
      <c r="M454">
        <v>1516.63</v>
      </c>
      <c r="N454">
        <v>704.12</v>
      </c>
      <c r="O454">
        <v>31.71</v>
      </c>
      <c r="P454" t="s">
        <v>38</v>
      </c>
      <c r="Q454">
        <v>7.6</v>
      </c>
      <c r="R454" t="str">
        <f t="shared" si="7"/>
        <v>August</v>
      </c>
    </row>
    <row r="455" spans="1:18" x14ac:dyDescent="0.3">
      <c r="A455" t="s">
        <v>842</v>
      </c>
      <c r="B455">
        <v>46237</v>
      </c>
      <c r="C455" t="s">
        <v>843</v>
      </c>
      <c r="D455" t="s">
        <v>19</v>
      </c>
      <c r="E455" t="s">
        <v>20</v>
      </c>
      <c r="F455" t="s">
        <v>21</v>
      </c>
      <c r="G455" t="s">
        <v>27</v>
      </c>
      <c r="H455" t="s">
        <v>34</v>
      </c>
      <c r="I455">
        <v>81.67</v>
      </c>
      <c r="J455">
        <v>7</v>
      </c>
      <c r="K455">
        <v>28.58</v>
      </c>
      <c r="L455">
        <v>600.27</v>
      </c>
      <c r="M455">
        <v>429.09</v>
      </c>
      <c r="N455">
        <v>171.18</v>
      </c>
      <c r="O455">
        <v>28.52</v>
      </c>
      <c r="P455" t="s">
        <v>46</v>
      </c>
      <c r="Q455">
        <v>7.7</v>
      </c>
      <c r="R455" t="str">
        <f t="shared" si="7"/>
        <v>August</v>
      </c>
    </row>
    <row r="456" spans="1:18" x14ac:dyDescent="0.3">
      <c r="A456" t="s">
        <v>844</v>
      </c>
      <c r="B456">
        <v>46238</v>
      </c>
      <c r="C456" t="s">
        <v>242</v>
      </c>
      <c r="D456" t="s">
        <v>59</v>
      </c>
      <c r="E456" t="s">
        <v>59</v>
      </c>
      <c r="F456" t="s">
        <v>21</v>
      </c>
      <c r="G456" t="s">
        <v>27</v>
      </c>
      <c r="H456" t="s">
        <v>45</v>
      </c>
      <c r="I456">
        <v>278.56</v>
      </c>
      <c r="J456">
        <v>1</v>
      </c>
      <c r="K456">
        <v>13.93</v>
      </c>
      <c r="L456">
        <v>292.49</v>
      </c>
      <c r="M456">
        <v>242.7</v>
      </c>
      <c r="N456">
        <v>49.79</v>
      </c>
      <c r="O456">
        <v>17.02</v>
      </c>
      <c r="P456" t="s">
        <v>46</v>
      </c>
      <c r="Q456">
        <v>6.6</v>
      </c>
      <c r="R456" t="str">
        <f t="shared" si="7"/>
        <v>August</v>
      </c>
    </row>
    <row r="457" spans="1:18" x14ac:dyDescent="0.3">
      <c r="A457" t="s">
        <v>845</v>
      </c>
      <c r="B457">
        <v>46238</v>
      </c>
      <c r="C457" t="s">
        <v>98</v>
      </c>
      <c r="D457" t="s">
        <v>41</v>
      </c>
      <c r="E457" t="s">
        <v>20</v>
      </c>
      <c r="F457" t="s">
        <v>21</v>
      </c>
      <c r="G457" t="s">
        <v>22</v>
      </c>
      <c r="H457" t="s">
        <v>52</v>
      </c>
      <c r="I457">
        <v>78.05</v>
      </c>
      <c r="J457">
        <v>1</v>
      </c>
      <c r="K457">
        <v>3.9</v>
      </c>
      <c r="L457">
        <v>81.95</v>
      </c>
      <c r="M457">
        <v>59.96</v>
      </c>
      <c r="N457">
        <v>21.99</v>
      </c>
      <c r="O457">
        <v>26.83</v>
      </c>
      <c r="P457" t="s">
        <v>35</v>
      </c>
      <c r="Q457">
        <v>8.1</v>
      </c>
      <c r="R457" t="str">
        <f t="shared" si="7"/>
        <v>August</v>
      </c>
    </row>
    <row r="458" spans="1:18" x14ac:dyDescent="0.3">
      <c r="A458" t="s">
        <v>846</v>
      </c>
      <c r="B458">
        <v>46239</v>
      </c>
      <c r="C458" t="s">
        <v>847</v>
      </c>
      <c r="D458" t="s">
        <v>19</v>
      </c>
      <c r="E458" t="s">
        <v>20</v>
      </c>
      <c r="F458" t="s">
        <v>33</v>
      </c>
      <c r="G458" t="s">
        <v>22</v>
      </c>
      <c r="H458" t="s">
        <v>23</v>
      </c>
      <c r="I458">
        <v>89.22</v>
      </c>
      <c r="J458">
        <v>2</v>
      </c>
      <c r="K458">
        <v>8.92</v>
      </c>
      <c r="L458">
        <v>187.36</v>
      </c>
      <c r="M458">
        <v>143.69</v>
      </c>
      <c r="N458">
        <v>43.67</v>
      </c>
      <c r="O458">
        <v>23.31</v>
      </c>
      <c r="P458" t="s">
        <v>29</v>
      </c>
      <c r="Q458">
        <v>5.6</v>
      </c>
      <c r="R458" t="str">
        <f t="shared" si="7"/>
        <v>August</v>
      </c>
    </row>
    <row r="459" spans="1:18" x14ac:dyDescent="0.3">
      <c r="A459" t="s">
        <v>848</v>
      </c>
      <c r="B459">
        <v>46240</v>
      </c>
      <c r="C459" t="s">
        <v>849</v>
      </c>
      <c r="D459" t="s">
        <v>19</v>
      </c>
      <c r="E459" t="s">
        <v>20</v>
      </c>
      <c r="F459" t="s">
        <v>21</v>
      </c>
      <c r="G459" t="s">
        <v>27</v>
      </c>
      <c r="H459" t="s">
        <v>52</v>
      </c>
      <c r="I459">
        <v>108.25</v>
      </c>
      <c r="J459">
        <v>8</v>
      </c>
      <c r="K459">
        <v>43.3</v>
      </c>
      <c r="L459">
        <v>909.3</v>
      </c>
      <c r="M459">
        <v>741.07</v>
      </c>
      <c r="N459">
        <v>168.23</v>
      </c>
      <c r="O459">
        <v>18.5</v>
      </c>
      <c r="P459" t="s">
        <v>24</v>
      </c>
      <c r="Q459">
        <v>7.7</v>
      </c>
      <c r="R459" t="str">
        <f t="shared" si="7"/>
        <v>August</v>
      </c>
    </row>
    <row r="460" spans="1:18" x14ac:dyDescent="0.3">
      <c r="A460" t="s">
        <v>850</v>
      </c>
      <c r="B460">
        <v>46240</v>
      </c>
      <c r="C460" t="s">
        <v>662</v>
      </c>
      <c r="D460" t="s">
        <v>32</v>
      </c>
      <c r="E460" t="s">
        <v>32</v>
      </c>
      <c r="F460" t="s">
        <v>33</v>
      </c>
      <c r="G460" t="s">
        <v>27</v>
      </c>
      <c r="H460" t="s">
        <v>72</v>
      </c>
      <c r="I460">
        <v>191.59</v>
      </c>
      <c r="J460">
        <v>4</v>
      </c>
      <c r="K460">
        <v>38.32</v>
      </c>
      <c r="L460">
        <v>804.68</v>
      </c>
      <c r="M460">
        <v>650.46</v>
      </c>
      <c r="N460">
        <v>154.22</v>
      </c>
      <c r="O460">
        <v>19.170000000000002</v>
      </c>
      <c r="P460" t="s">
        <v>46</v>
      </c>
      <c r="Q460">
        <v>6.6</v>
      </c>
      <c r="R460" t="str">
        <f t="shared" si="7"/>
        <v>August</v>
      </c>
    </row>
    <row r="461" spans="1:18" x14ac:dyDescent="0.3">
      <c r="A461" t="s">
        <v>851</v>
      </c>
      <c r="B461">
        <v>46242</v>
      </c>
      <c r="C461" t="s">
        <v>852</v>
      </c>
      <c r="D461" t="s">
        <v>51</v>
      </c>
      <c r="E461" t="s">
        <v>51</v>
      </c>
      <c r="F461" t="s">
        <v>33</v>
      </c>
      <c r="G461" t="s">
        <v>27</v>
      </c>
      <c r="H461" t="s">
        <v>45</v>
      </c>
      <c r="I461">
        <v>255.04</v>
      </c>
      <c r="K461">
        <v>51.01</v>
      </c>
      <c r="L461">
        <v>1071.17</v>
      </c>
      <c r="M461">
        <v>766.54</v>
      </c>
      <c r="N461">
        <v>304.63</v>
      </c>
      <c r="O461">
        <v>28.44</v>
      </c>
      <c r="P461" t="s">
        <v>29</v>
      </c>
      <c r="Q461">
        <v>5.7</v>
      </c>
      <c r="R461" t="str">
        <f t="shared" si="7"/>
        <v>August</v>
      </c>
    </row>
    <row r="462" spans="1:18" x14ac:dyDescent="0.3">
      <c r="A462" t="s">
        <v>853</v>
      </c>
      <c r="B462">
        <v>46242</v>
      </c>
      <c r="C462" t="s">
        <v>653</v>
      </c>
      <c r="D462" t="s">
        <v>19</v>
      </c>
      <c r="E462" t="s">
        <v>20</v>
      </c>
      <c r="F462" t="s">
        <v>21</v>
      </c>
      <c r="G462" t="s">
        <v>22</v>
      </c>
      <c r="H462" t="s">
        <v>28</v>
      </c>
      <c r="I462">
        <v>117.51</v>
      </c>
      <c r="J462">
        <v>2</v>
      </c>
      <c r="K462">
        <v>11.75</v>
      </c>
      <c r="L462">
        <v>246.77</v>
      </c>
      <c r="M462">
        <v>182.98</v>
      </c>
      <c r="N462">
        <v>63.79</v>
      </c>
      <c r="O462">
        <v>25.85</v>
      </c>
      <c r="P462" t="s">
        <v>46</v>
      </c>
      <c r="Q462">
        <v>6.3</v>
      </c>
      <c r="R462" t="str">
        <f t="shared" si="7"/>
        <v>August</v>
      </c>
    </row>
    <row r="463" spans="1:18" x14ac:dyDescent="0.3">
      <c r="A463" t="s">
        <v>854</v>
      </c>
      <c r="B463">
        <v>46242</v>
      </c>
      <c r="C463" t="s">
        <v>157</v>
      </c>
      <c r="D463" t="s">
        <v>19</v>
      </c>
      <c r="E463" t="s">
        <v>20</v>
      </c>
      <c r="F463" t="s">
        <v>21</v>
      </c>
      <c r="G463" t="s">
        <v>27</v>
      </c>
      <c r="H463" t="s">
        <v>34</v>
      </c>
      <c r="I463">
        <v>85.1</v>
      </c>
      <c r="J463">
        <v>4</v>
      </c>
      <c r="K463">
        <v>17.02</v>
      </c>
      <c r="L463">
        <v>357.42</v>
      </c>
      <c r="M463">
        <v>260.49</v>
      </c>
      <c r="N463">
        <v>96.93</v>
      </c>
      <c r="O463">
        <v>27.12</v>
      </c>
      <c r="P463" t="s">
        <v>35</v>
      </c>
      <c r="Q463">
        <v>7.7</v>
      </c>
      <c r="R463" t="str">
        <f t="shared" si="7"/>
        <v>August</v>
      </c>
    </row>
    <row r="464" spans="1:18" x14ac:dyDescent="0.3">
      <c r="A464" t="s">
        <v>855</v>
      </c>
      <c r="B464">
        <v>46243</v>
      </c>
      <c r="C464" t="s">
        <v>248</v>
      </c>
      <c r="D464" t="s">
        <v>32</v>
      </c>
      <c r="E464" t="s">
        <v>32</v>
      </c>
      <c r="F464" t="s">
        <v>21</v>
      </c>
      <c r="G464" t="s">
        <v>27</v>
      </c>
      <c r="H464" t="s">
        <v>23</v>
      </c>
      <c r="I464">
        <v>98.94</v>
      </c>
      <c r="J464">
        <v>6</v>
      </c>
      <c r="K464">
        <v>29.68</v>
      </c>
      <c r="L464">
        <v>623.32000000000005</v>
      </c>
      <c r="M464">
        <v>470.46</v>
      </c>
      <c r="N464">
        <v>152.86000000000001</v>
      </c>
      <c r="O464">
        <v>24.52</v>
      </c>
      <c r="P464" t="s">
        <v>38</v>
      </c>
      <c r="Q464">
        <v>6.7</v>
      </c>
      <c r="R464" t="str">
        <f t="shared" si="7"/>
        <v>August</v>
      </c>
    </row>
    <row r="465" spans="1:18" x14ac:dyDescent="0.3">
      <c r="A465" t="s">
        <v>856</v>
      </c>
      <c r="B465">
        <v>46244</v>
      </c>
      <c r="C465" t="s">
        <v>857</v>
      </c>
      <c r="D465" t="s">
        <v>41</v>
      </c>
      <c r="E465" t="s">
        <v>20</v>
      </c>
      <c r="F465" t="s">
        <v>33</v>
      </c>
      <c r="G465" t="s">
        <v>22</v>
      </c>
      <c r="H465" t="s">
        <v>23</v>
      </c>
      <c r="I465">
        <v>99.39</v>
      </c>
      <c r="J465">
        <v>2</v>
      </c>
      <c r="K465">
        <v>9.94</v>
      </c>
      <c r="L465">
        <v>208.72</v>
      </c>
      <c r="M465">
        <v>167.32</v>
      </c>
      <c r="N465">
        <v>41.4</v>
      </c>
      <c r="O465">
        <v>19.84</v>
      </c>
      <c r="P465" t="s">
        <v>46</v>
      </c>
      <c r="Q465">
        <v>9.4</v>
      </c>
      <c r="R465" t="str">
        <f t="shared" si="7"/>
        <v>August</v>
      </c>
    </row>
    <row r="466" spans="1:18" x14ac:dyDescent="0.3">
      <c r="A466" t="s">
        <v>858</v>
      </c>
      <c r="B466">
        <v>46244</v>
      </c>
      <c r="C466" t="s">
        <v>859</v>
      </c>
      <c r="D466" t="s">
        <v>59</v>
      </c>
      <c r="E466" t="s">
        <v>59</v>
      </c>
      <c r="F466" t="s">
        <v>21</v>
      </c>
      <c r="G466" t="s">
        <v>22</v>
      </c>
      <c r="H466" t="s">
        <v>99</v>
      </c>
      <c r="I466">
        <v>122.75</v>
      </c>
      <c r="J466">
        <v>6</v>
      </c>
      <c r="K466">
        <v>36.83</v>
      </c>
      <c r="L466">
        <v>773.33</v>
      </c>
      <c r="M466">
        <v>544.19000000000005</v>
      </c>
      <c r="N466">
        <v>229.14</v>
      </c>
      <c r="O466">
        <v>29.63</v>
      </c>
      <c r="P466" t="s">
        <v>24</v>
      </c>
      <c r="Q466">
        <v>7.8</v>
      </c>
      <c r="R466" t="str">
        <f t="shared" si="7"/>
        <v>August</v>
      </c>
    </row>
    <row r="467" spans="1:18" x14ac:dyDescent="0.3">
      <c r="A467" t="s">
        <v>860</v>
      </c>
      <c r="B467">
        <v>46245</v>
      </c>
      <c r="C467" t="s">
        <v>861</v>
      </c>
      <c r="D467" t="s">
        <v>51</v>
      </c>
      <c r="E467" t="s">
        <v>51</v>
      </c>
      <c r="F467" t="s">
        <v>21</v>
      </c>
      <c r="G467" t="s">
        <v>27</v>
      </c>
      <c r="H467" t="s">
        <v>72</v>
      </c>
      <c r="I467">
        <v>200.83</v>
      </c>
      <c r="J467">
        <v>6</v>
      </c>
      <c r="K467">
        <v>60.25</v>
      </c>
      <c r="L467">
        <v>1265.23</v>
      </c>
      <c r="M467">
        <v>973.68</v>
      </c>
      <c r="N467">
        <v>291.55</v>
      </c>
      <c r="O467">
        <v>23.04</v>
      </c>
      <c r="P467" t="s">
        <v>46</v>
      </c>
      <c r="Q467">
        <v>4.8</v>
      </c>
      <c r="R467" t="str">
        <f t="shared" si="7"/>
        <v>August</v>
      </c>
    </row>
    <row r="468" spans="1:18" x14ac:dyDescent="0.3">
      <c r="A468" t="s">
        <v>862</v>
      </c>
      <c r="B468">
        <v>46246</v>
      </c>
      <c r="C468" t="s">
        <v>863</v>
      </c>
      <c r="D468" t="s">
        <v>32</v>
      </c>
      <c r="E468" t="s">
        <v>32</v>
      </c>
      <c r="F468" t="s">
        <v>33</v>
      </c>
      <c r="G468" t="s">
        <v>22</v>
      </c>
      <c r="H468" t="s">
        <v>45</v>
      </c>
      <c r="I468">
        <v>237.48</v>
      </c>
      <c r="J468">
        <v>9</v>
      </c>
      <c r="K468">
        <v>106.87</v>
      </c>
      <c r="L468">
        <v>2244.19</v>
      </c>
      <c r="M468">
        <v>1545.13</v>
      </c>
      <c r="N468">
        <v>699.06</v>
      </c>
      <c r="O468">
        <v>31.15</v>
      </c>
      <c r="P468" t="s">
        <v>46</v>
      </c>
      <c r="Q468">
        <v>7.1</v>
      </c>
      <c r="R468" t="str">
        <f t="shared" si="7"/>
        <v>August</v>
      </c>
    </row>
    <row r="469" spans="1:18" x14ac:dyDescent="0.3">
      <c r="A469" t="s">
        <v>864</v>
      </c>
      <c r="B469">
        <v>46246</v>
      </c>
      <c r="C469" t="s">
        <v>324</v>
      </c>
      <c r="D469" t="s">
        <v>19</v>
      </c>
      <c r="E469" t="s">
        <v>20</v>
      </c>
      <c r="F469" t="s">
        <v>21</v>
      </c>
      <c r="G469" t="s">
        <v>22</v>
      </c>
      <c r="H469" t="s">
        <v>99</v>
      </c>
      <c r="I469">
        <v>92.88</v>
      </c>
      <c r="J469">
        <v>5</v>
      </c>
      <c r="K469">
        <v>23.22</v>
      </c>
      <c r="L469">
        <v>487.62</v>
      </c>
      <c r="M469">
        <v>340.27</v>
      </c>
      <c r="N469">
        <v>147.35</v>
      </c>
      <c r="O469">
        <v>30.22</v>
      </c>
      <c r="P469" t="s">
        <v>38</v>
      </c>
      <c r="Q469">
        <v>8.5</v>
      </c>
      <c r="R469" t="str">
        <f t="shared" si="7"/>
        <v>August</v>
      </c>
    </row>
    <row r="470" spans="1:18" x14ac:dyDescent="0.3">
      <c r="A470" t="s">
        <v>865</v>
      </c>
      <c r="B470">
        <v>46246</v>
      </c>
      <c r="C470" t="s">
        <v>866</v>
      </c>
      <c r="D470" t="s">
        <v>59</v>
      </c>
      <c r="E470" t="s">
        <v>59</v>
      </c>
      <c r="F470" t="s">
        <v>33</v>
      </c>
      <c r="G470" t="s">
        <v>27</v>
      </c>
      <c r="H470" t="s">
        <v>99</v>
      </c>
      <c r="I470">
        <v>105.34</v>
      </c>
      <c r="J470">
        <v>9</v>
      </c>
      <c r="K470">
        <v>47.4</v>
      </c>
      <c r="L470">
        <v>995.46</v>
      </c>
      <c r="M470">
        <v>751.39</v>
      </c>
      <c r="N470">
        <v>244.07</v>
      </c>
      <c r="O470">
        <v>24.52</v>
      </c>
      <c r="P470" t="s">
        <v>24</v>
      </c>
      <c r="Q470">
        <v>7.6</v>
      </c>
      <c r="R470" t="str">
        <f t="shared" si="7"/>
        <v>August</v>
      </c>
    </row>
    <row r="471" spans="1:18" x14ac:dyDescent="0.3">
      <c r="A471" t="s">
        <v>867</v>
      </c>
      <c r="B471">
        <v>46247</v>
      </c>
      <c r="C471" t="s">
        <v>868</v>
      </c>
      <c r="D471" t="s">
        <v>41</v>
      </c>
      <c r="E471" t="s">
        <v>20</v>
      </c>
      <c r="F471" t="s">
        <v>33</v>
      </c>
      <c r="G471" t="s">
        <v>22</v>
      </c>
      <c r="H471" t="s">
        <v>34</v>
      </c>
      <c r="I471">
        <v>51.62</v>
      </c>
      <c r="J471">
        <v>8</v>
      </c>
      <c r="K471">
        <v>20.65</v>
      </c>
      <c r="L471">
        <v>433.61</v>
      </c>
      <c r="M471">
        <v>338.64</v>
      </c>
      <c r="N471">
        <v>94.97</v>
      </c>
      <c r="O471">
        <v>21.9</v>
      </c>
      <c r="P471" t="s">
        <v>38</v>
      </c>
      <c r="Q471">
        <v>6.5</v>
      </c>
      <c r="R471" t="str">
        <f t="shared" si="7"/>
        <v>August</v>
      </c>
    </row>
    <row r="472" spans="1:18" x14ac:dyDescent="0.3">
      <c r="A472" t="s">
        <v>869</v>
      </c>
      <c r="B472">
        <v>46247</v>
      </c>
      <c r="C472" t="s">
        <v>167</v>
      </c>
      <c r="D472" t="s">
        <v>19</v>
      </c>
      <c r="E472" t="s">
        <v>20</v>
      </c>
      <c r="F472" t="s">
        <v>33</v>
      </c>
      <c r="G472" t="s">
        <v>27</v>
      </c>
      <c r="H472" t="s">
        <v>34</v>
      </c>
      <c r="I472">
        <v>92.69</v>
      </c>
      <c r="J472">
        <v>10</v>
      </c>
      <c r="K472">
        <v>46.34</v>
      </c>
      <c r="L472">
        <v>973.24</v>
      </c>
      <c r="M472">
        <v>778.28</v>
      </c>
      <c r="N472">
        <v>194.96</v>
      </c>
      <c r="O472">
        <v>20.03</v>
      </c>
      <c r="P472" t="s">
        <v>46</v>
      </c>
      <c r="Q472">
        <v>8.5</v>
      </c>
      <c r="R472" t="str">
        <f t="shared" si="7"/>
        <v>August</v>
      </c>
    </row>
    <row r="473" spans="1:18" x14ac:dyDescent="0.3">
      <c r="A473" t="s">
        <v>870</v>
      </c>
      <c r="B473">
        <v>46247</v>
      </c>
      <c r="C473" t="s">
        <v>149</v>
      </c>
      <c r="D473" t="s">
        <v>41</v>
      </c>
      <c r="E473" t="s">
        <v>20</v>
      </c>
      <c r="F473" t="s">
        <v>21</v>
      </c>
      <c r="G473" t="s">
        <v>22</v>
      </c>
      <c r="H473" t="s">
        <v>28</v>
      </c>
      <c r="I473">
        <v>127.59</v>
      </c>
      <c r="J473">
        <v>6</v>
      </c>
      <c r="K473">
        <v>38.28</v>
      </c>
      <c r="L473">
        <v>803.82</v>
      </c>
      <c r="M473">
        <v>583.70000000000005</v>
      </c>
      <c r="N473">
        <v>220.12</v>
      </c>
      <c r="O473">
        <v>27.38</v>
      </c>
      <c r="P473" t="s">
        <v>38</v>
      </c>
      <c r="Q473">
        <v>8.6</v>
      </c>
      <c r="R473" t="str">
        <f t="shared" si="7"/>
        <v>August</v>
      </c>
    </row>
    <row r="474" spans="1:18" x14ac:dyDescent="0.3">
      <c r="A474" t="s">
        <v>871</v>
      </c>
      <c r="B474">
        <v>46247</v>
      </c>
      <c r="C474" t="s">
        <v>872</v>
      </c>
      <c r="D474" t="s">
        <v>19</v>
      </c>
      <c r="E474" t="s">
        <v>20</v>
      </c>
      <c r="F474" t="s">
        <v>33</v>
      </c>
      <c r="G474" t="s">
        <v>27</v>
      </c>
      <c r="H474" t="s">
        <v>45</v>
      </c>
      <c r="I474">
        <v>139.44999999999999</v>
      </c>
      <c r="J474">
        <v>9</v>
      </c>
      <c r="K474">
        <v>62.75</v>
      </c>
      <c r="L474">
        <v>1317.8</v>
      </c>
      <c r="M474">
        <v>1046.07</v>
      </c>
      <c r="N474">
        <v>271.73</v>
      </c>
      <c r="O474">
        <v>20.62</v>
      </c>
      <c r="P474" t="s">
        <v>46</v>
      </c>
      <c r="Q474">
        <v>6.4</v>
      </c>
      <c r="R474" t="str">
        <f t="shared" si="7"/>
        <v>August</v>
      </c>
    </row>
    <row r="475" spans="1:18" x14ac:dyDescent="0.3">
      <c r="A475" t="s">
        <v>873</v>
      </c>
      <c r="B475">
        <v>46248</v>
      </c>
      <c r="C475" t="s">
        <v>874</v>
      </c>
      <c r="D475" t="s">
        <v>32</v>
      </c>
      <c r="E475" t="s">
        <v>32</v>
      </c>
      <c r="F475" t="s">
        <v>21</v>
      </c>
      <c r="G475" t="s">
        <v>27</v>
      </c>
      <c r="H475" t="s">
        <v>99</v>
      </c>
      <c r="I475">
        <v>82.29</v>
      </c>
      <c r="J475">
        <v>7</v>
      </c>
      <c r="K475">
        <v>28.8</v>
      </c>
      <c r="L475">
        <v>604.83000000000004</v>
      </c>
      <c r="M475">
        <v>491.62</v>
      </c>
      <c r="N475">
        <v>113.21</v>
      </c>
      <c r="O475">
        <v>18.72</v>
      </c>
      <c r="P475" t="s">
        <v>46</v>
      </c>
      <c r="Q475">
        <v>5.7</v>
      </c>
      <c r="R475" t="str">
        <f t="shared" si="7"/>
        <v>August</v>
      </c>
    </row>
    <row r="476" spans="1:18" x14ac:dyDescent="0.3">
      <c r="A476" t="s">
        <v>875</v>
      </c>
      <c r="B476">
        <v>46248</v>
      </c>
      <c r="C476" t="s">
        <v>876</v>
      </c>
      <c r="D476" t="s">
        <v>41</v>
      </c>
      <c r="E476" t="s">
        <v>20</v>
      </c>
      <c r="F476" t="s">
        <v>33</v>
      </c>
      <c r="G476" t="s">
        <v>27</v>
      </c>
      <c r="H476" t="s">
        <v>23</v>
      </c>
      <c r="I476">
        <v>146.03</v>
      </c>
      <c r="J476">
        <v>1</v>
      </c>
      <c r="K476">
        <v>7.3</v>
      </c>
      <c r="L476">
        <v>153.33000000000001</v>
      </c>
      <c r="M476">
        <v>123.58</v>
      </c>
      <c r="N476">
        <v>29.75</v>
      </c>
      <c r="O476">
        <v>19.399999999999999</v>
      </c>
      <c r="P476" t="s">
        <v>46</v>
      </c>
      <c r="Q476">
        <v>7.1</v>
      </c>
      <c r="R476" t="str">
        <f t="shared" si="7"/>
        <v>August</v>
      </c>
    </row>
    <row r="477" spans="1:18" x14ac:dyDescent="0.3">
      <c r="A477" t="s">
        <v>877</v>
      </c>
      <c r="B477">
        <v>46248</v>
      </c>
      <c r="C477" t="s">
        <v>878</v>
      </c>
      <c r="D477" t="s">
        <v>51</v>
      </c>
      <c r="E477" t="s">
        <v>51</v>
      </c>
      <c r="F477" t="s">
        <v>33</v>
      </c>
      <c r="G477" t="s">
        <v>22</v>
      </c>
      <c r="H477" t="s">
        <v>34</v>
      </c>
      <c r="I477">
        <v>71.489999999999995</v>
      </c>
      <c r="J477">
        <v>4</v>
      </c>
      <c r="K477">
        <v>14.3</v>
      </c>
      <c r="L477">
        <v>300.26</v>
      </c>
      <c r="M477">
        <v>241.34</v>
      </c>
      <c r="N477">
        <v>58.92</v>
      </c>
      <c r="O477">
        <v>19.62</v>
      </c>
      <c r="P477" t="s">
        <v>29</v>
      </c>
      <c r="Q477">
        <v>10</v>
      </c>
      <c r="R477" t="str">
        <f t="shared" si="7"/>
        <v>August</v>
      </c>
    </row>
    <row r="478" spans="1:18" x14ac:dyDescent="0.3">
      <c r="A478" t="s">
        <v>879</v>
      </c>
      <c r="B478">
        <v>46248</v>
      </c>
      <c r="C478" t="s">
        <v>578</v>
      </c>
      <c r="D478" t="s">
        <v>59</v>
      </c>
      <c r="E478" t="s">
        <v>59</v>
      </c>
      <c r="F478" t="s">
        <v>21</v>
      </c>
      <c r="G478" t="s">
        <v>27</v>
      </c>
      <c r="H478" t="s">
        <v>28</v>
      </c>
      <c r="I478">
        <v>172.84</v>
      </c>
      <c r="J478">
        <v>6</v>
      </c>
      <c r="K478">
        <v>51.85</v>
      </c>
      <c r="L478">
        <v>1088.8900000000001</v>
      </c>
      <c r="M478">
        <v>803.61</v>
      </c>
      <c r="N478">
        <v>285.27999999999997</v>
      </c>
      <c r="O478">
        <v>26.2</v>
      </c>
      <c r="P478" t="s">
        <v>35</v>
      </c>
      <c r="Q478">
        <v>8.8000000000000007</v>
      </c>
      <c r="R478" t="str">
        <f t="shared" si="7"/>
        <v>August</v>
      </c>
    </row>
    <row r="479" spans="1:18" x14ac:dyDescent="0.3">
      <c r="A479" t="s">
        <v>880</v>
      </c>
      <c r="B479">
        <v>46249</v>
      </c>
      <c r="C479" t="s">
        <v>312</v>
      </c>
      <c r="D479" t="s">
        <v>41</v>
      </c>
      <c r="E479" t="s">
        <v>20</v>
      </c>
      <c r="F479" t="s">
        <v>21</v>
      </c>
      <c r="G479" t="s">
        <v>27</v>
      </c>
      <c r="H479" t="s">
        <v>42</v>
      </c>
      <c r="I479">
        <v>362.49</v>
      </c>
      <c r="J479">
        <v>3</v>
      </c>
      <c r="K479">
        <v>54.37</v>
      </c>
      <c r="L479">
        <v>1141.8399999999999</v>
      </c>
      <c r="M479">
        <v>849.88</v>
      </c>
      <c r="N479">
        <v>291.95999999999998</v>
      </c>
      <c r="O479">
        <v>25.57</v>
      </c>
      <c r="P479" t="s">
        <v>35</v>
      </c>
      <c r="Q479">
        <v>6.4</v>
      </c>
      <c r="R479" t="str">
        <f t="shared" si="7"/>
        <v>August</v>
      </c>
    </row>
    <row r="480" spans="1:18" x14ac:dyDescent="0.3">
      <c r="A480" t="s">
        <v>881</v>
      </c>
      <c r="B480">
        <v>46250</v>
      </c>
      <c r="C480" t="s">
        <v>882</v>
      </c>
      <c r="D480" t="s">
        <v>59</v>
      </c>
      <c r="E480" t="s">
        <v>59</v>
      </c>
      <c r="F480" t="s">
        <v>21</v>
      </c>
      <c r="G480" t="s">
        <v>27</v>
      </c>
      <c r="H480" t="s">
        <v>23</v>
      </c>
      <c r="I480">
        <v>107.9</v>
      </c>
      <c r="J480">
        <v>1</v>
      </c>
      <c r="K480">
        <v>5.4</v>
      </c>
      <c r="L480">
        <v>113.3</v>
      </c>
      <c r="M480">
        <v>84.68</v>
      </c>
      <c r="N480">
        <v>28.62</v>
      </c>
      <c r="O480">
        <v>25.26</v>
      </c>
      <c r="P480" t="s">
        <v>38</v>
      </c>
      <c r="Q480">
        <v>8.9</v>
      </c>
      <c r="R480" t="str">
        <f t="shared" si="7"/>
        <v>August</v>
      </c>
    </row>
    <row r="481" spans="1:18" x14ac:dyDescent="0.3">
      <c r="A481" t="s">
        <v>883</v>
      </c>
      <c r="B481">
        <v>46251</v>
      </c>
      <c r="C481" t="s">
        <v>534</v>
      </c>
      <c r="D481" t="s">
        <v>51</v>
      </c>
      <c r="E481" t="s">
        <v>51</v>
      </c>
      <c r="F481" t="s">
        <v>33</v>
      </c>
      <c r="G481" t="s">
        <v>27</v>
      </c>
      <c r="H481" t="s">
        <v>72</v>
      </c>
      <c r="I481">
        <v>214.44</v>
      </c>
      <c r="J481">
        <v>5</v>
      </c>
      <c r="K481">
        <v>53.61</v>
      </c>
      <c r="L481">
        <v>1125.81</v>
      </c>
      <c r="M481">
        <v>853.19</v>
      </c>
      <c r="N481">
        <v>272.62</v>
      </c>
      <c r="O481">
        <v>24.22</v>
      </c>
      <c r="P481" t="s">
        <v>38</v>
      </c>
      <c r="Q481">
        <v>6.8</v>
      </c>
      <c r="R481" t="str">
        <f t="shared" si="7"/>
        <v>August</v>
      </c>
    </row>
    <row r="482" spans="1:18" x14ac:dyDescent="0.3">
      <c r="A482" t="s">
        <v>884</v>
      </c>
      <c r="B482">
        <v>46251</v>
      </c>
      <c r="C482" t="s">
        <v>885</v>
      </c>
      <c r="D482" t="s">
        <v>19</v>
      </c>
      <c r="E482" t="s">
        <v>20</v>
      </c>
      <c r="F482" t="s">
        <v>21</v>
      </c>
      <c r="G482" t="s">
        <v>22</v>
      </c>
      <c r="H482" t="s">
        <v>23</v>
      </c>
      <c r="I482">
        <v>83.75</v>
      </c>
      <c r="J482">
        <v>3</v>
      </c>
      <c r="K482">
        <v>12.56</v>
      </c>
      <c r="L482">
        <v>263.81</v>
      </c>
      <c r="M482">
        <v>208.11</v>
      </c>
      <c r="N482">
        <v>55.7</v>
      </c>
      <c r="O482">
        <v>21.11</v>
      </c>
      <c r="P482" t="s">
        <v>24</v>
      </c>
      <c r="Q482">
        <v>7.5</v>
      </c>
      <c r="R482" t="str">
        <f t="shared" si="7"/>
        <v>August</v>
      </c>
    </row>
    <row r="483" spans="1:18" x14ac:dyDescent="0.3">
      <c r="A483" t="s">
        <v>886</v>
      </c>
      <c r="B483">
        <v>46253</v>
      </c>
      <c r="C483" t="s">
        <v>887</v>
      </c>
      <c r="D483" t="s">
        <v>41</v>
      </c>
      <c r="E483" t="s">
        <v>20</v>
      </c>
      <c r="F483" t="s">
        <v>33</v>
      </c>
      <c r="G483" t="s">
        <v>22</v>
      </c>
      <c r="H483" t="s">
        <v>72</v>
      </c>
      <c r="I483">
        <v>219.2</v>
      </c>
      <c r="J483">
        <v>8</v>
      </c>
      <c r="K483">
        <v>87.68</v>
      </c>
      <c r="L483">
        <v>1841.28</v>
      </c>
      <c r="M483">
        <v>1333.47</v>
      </c>
      <c r="N483">
        <v>507.81</v>
      </c>
      <c r="O483">
        <v>27.58</v>
      </c>
      <c r="P483" t="s">
        <v>46</v>
      </c>
      <c r="Q483">
        <v>7.9</v>
      </c>
      <c r="R483" t="str">
        <f t="shared" si="7"/>
        <v>August</v>
      </c>
    </row>
    <row r="484" spans="1:18" x14ac:dyDescent="0.3">
      <c r="A484" t="s">
        <v>888</v>
      </c>
      <c r="B484">
        <v>46253</v>
      </c>
      <c r="C484" t="s">
        <v>889</v>
      </c>
      <c r="D484" t="s">
        <v>32</v>
      </c>
      <c r="E484" t="s">
        <v>32</v>
      </c>
      <c r="F484" t="s">
        <v>33</v>
      </c>
      <c r="G484" t="s">
        <v>22</v>
      </c>
      <c r="H484" t="s">
        <v>34</v>
      </c>
      <c r="I484">
        <v>46.57</v>
      </c>
      <c r="J484">
        <v>9</v>
      </c>
      <c r="K484">
        <v>20.96</v>
      </c>
      <c r="L484">
        <v>440.09</v>
      </c>
      <c r="M484">
        <v>293.82</v>
      </c>
      <c r="N484">
        <v>146.27000000000001</v>
      </c>
      <c r="O484">
        <v>33.24</v>
      </c>
      <c r="P484" t="s">
        <v>46</v>
      </c>
      <c r="Q484">
        <v>10</v>
      </c>
      <c r="R484" t="str">
        <f t="shared" si="7"/>
        <v>August</v>
      </c>
    </row>
    <row r="485" spans="1:18" x14ac:dyDescent="0.3">
      <c r="A485" t="s">
        <v>890</v>
      </c>
      <c r="B485">
        <v>46253</v>
      </c>
      <c r="C485" t="s">
        <v>891</v>
      </c>
      <c r="D485" t="s">
        <v>19</v>
      </c>
      <c r="E485" t="s">
        <v>20</v>
      </c>
      <c r="F485" t="s">
        <v>33</v>
      </c>
      <c r="G485" t="s">
        <v>22</v>
      </c>
      <c r="H485" t="s">
        <v>99</v>
      </c>
      <c r="I485">
        <v>119.97</v>
      </c>
      <c r="J485">
        <v>7</v>
      </c>
      <c r="K485">
        <v>41.99</v>
      </c>
      <c r="L485">
        <v>881.78</v>
      </c>
      <c r="M485">
        <v>684.34</v>
      </c>
      <c r="N485">
        <v>197.44</v>
      </c>
      <c r="O485">
        <v>22.39</v>
      </c>
      <c r="P485" t="s">
        <v>29</v>
      </c>
      <c r="Q485">
        <v>6.4</v>
      </c>
      <c r="R485" t="str">
        <f t="shared" si="7"/>
        <v>August</v>
      </c>
    </row>
    <row r="486" spans="1:18" x14ac:dyDescent="0.3">
      <c r="A486" t="s">
        <v>892</v>
      </c>
      <c r="B486">
        <v>46254</v>
      </c>
      <c r="C486" t="s">
        <v>191</v>
      </c>
      <c r="D486" t="s">
        <v>51</v>
      </c>
      <c r="E486" t="s">
        <v>51</v>
      </c>
      <c r="F486" t="s">
        <v>33</v>
      </c>
      <c r="G486" t="s">
        <v>27</v>
      </c>
      <c r="H486" t="s">
        <v>23</v>
      </c>
      <c r="I486">
        <v>138.78</v>
      </c>
      <c r="J486">
        <v>1</v>
      </c>
      <c r="K486">
        <v>6.94</v>
      </c>
      <c r="L486">
        <v>145.72</v>
      </c>
      <c r="M486">
        <v>102.17</v>
      </c>
      <c r="N486">
        <v>43.55</v>
      </c>
      <c r="O486">
        <v>29.89</v>
      </c>
      <c r="P486" t="s">
        <v>46</v>
      </c>
      <c r="Q486">
        <v>6.4</v>
      </c>
      <c r="R486" t="str">
        <f t="shared" si="7"/>
        <v>August</v>
      </c>
    </row>
    <row r="487" spans="1:18" x14ac:dyDescent="0.3">
      <c r="A487" t="s">
        <v>893</v>
      </c>
      <c r="B487">
        <v>46254</v>
      </c>
      <c r="C487" t="s">
        <v>894</v>
      </c>
      <c r="D487" t="s">
        <v>51</v>
      </c>
      <c r="E487" t="s">
        <v>51</v>
      </c>
      <c r="F487" t="s">
        <v>21</v>
      </c>
      <c r="G487" t="s">
        <v>22</v>
      </c>
      <c r="H487" t="s">
        <v>72</v>
      </c>
      <c r="I487">
        <v>162.32</v>
      </c>
      <c r="J487">
        <v>5</v>
      </c>
      <c r="K487">
        <v>40.58</v>
      </c>
      <c r="L487">
        <v>852.18</v>
      </c>
      <c r="M487">
        <v>577.84</v>
      </c>
      <c r="N487">
        <v>274.33999999999997</v>
      </c>
      <c r="O487">
        <v>32.19</v>
      </c>
      <c r="P487" t="s">
        <v>38</v>
      </c>
      <c r="Q487">
        <v>6.3</v>
      </c>
      <c r="R487" t="str">
        <f t="shared" si="7"/>
        <v>August</v>
      </c>
    </row>
    <row r="488" spans="1:18" x14ac:dyDescent="0.3">
      <c r="A488" t="s">
        <v>895</v>
      </c>
      <c r="B488">
        <v>46255</v>
      </c>
      <c r="C488" t="s">
        <v>677</v>
      </c>
      <c r="D488" t="s">
        <v>41</v>
      </c>
      <c r="E488" t="s">
        <v>20</v>
      </c>
      <c r="F488" t="s">
        <v>21</v>
      </c>
      <c r="G488" t="s">
        <v>22</v>
      </c>
      <c r="H488" t="s">
        <v>99</v>
      </c>
      <c r="I488">
        <v>83.08</v>
      </c>
      <c r="J488">
        <v>10</v>
      </c>
      <c r="K488">
        <v>41.54</v>
      </c>
      <c r="L488">
        <v>872.34</v>
      </c>
      <c r="M488">
        <v>582.75</v>
      </c>
      <c r="N488">
        <v>289.58999999999997</v>
      </c>
      <c r="O488">
        <v>33.200000000000003</v>
      </c>
      <c r="P488" t="s">
        <v>29</v>
      </c>
      <c r="Q488">
        <v>5.5</v>
      </c>
      <c r="R488" t="str">
        <f t="shared" si="7"/>
        <v>August</v>
      </c>
    </row>
    <row r="489" spans="1:18" x14ac:dyDescent="0.3">
      <c r="A489" t="s">
        <v>896</v>
      </c>
      <c r="B489">
        <v>46255</v>
      </c>
      <c r="C489" t="s">
        <v>528</v>
      </c>
      <c r="D489" t="s">
        <v>19</v>
      </c>
      <c r="E489" t="s">
        <v>20</v>
      </c>
      <c r="F489" t="s">
        <v>21</v>
      </c>
      <c r="G489" t="s">
        <v>27</v>
      </c>
      <c r="H489" t="s">
        <v>23</v>
      </c>
      <c r="I489">
        <v>77.31</v>
      </c>
      <c r="J489">
        <v>8</v>
      </c>
      <c r="K489">
        <v>30.92</v>
      </c>
      <c r="L489">
        <v>649.4</v>
      </c>
      <c r="M489">
        <v>474.29</v>
      </c>
      <c r="N489">
        <v>175.11</v>
      </c>
      <c r="O489">
        <v>26.96</v>
      </c>
      <c r="P489" t="s">
        <v>46</v>
      </c>
      <c r="Q489">
        <v>7.1</v>
      </c>
      <c r="R489" t="str">
        <f t="shared" si="7"/>
        <v>August</v>
      </c>
    </row>
    <row r="490" spans="1:18" x14ac:dyDescent="0.3">
      <c r="A490" t="s">
        <v>897</v>
      </c>
      <c r="B490">
        <v>46255</v>
      </c>
      <c r="C490" t="s">
        <v>90</v>
      </c>
      <c r="D490" t="s">
        <v>59</v>
      </c>
      <c r="E490" t="s">
        <v>59</v>
      </c>
      <c r="F490" t="s">
        <v>21</v>
      </c>
      <c r="G490" t="s">
        <v>22</v>
      </c>
      <c r="H490" t="s">
        <v>34</v>
      </c>
      <c r="I490">
        <v>48.54</v>
      </c>
      <c r="J490">
        <v>4</v>
      </c>
      <c r="K490">
        <v>9.7100000000000009</v>
      </c>
      <c r="L490">
        <v>203.87</v>
      </c>
      <c r="M490">
        <v>157.44999999999999</v>
      </c>
      <c r="N490">
        <v>46.42</v>
      </c>
      <c r="O490">
        <v>22.77</v>
      </c>
      <c r="P490" t="s">
        <v>35</v>
      </c>
      <c r="Q490">
        <v>7.1</v>
      </c>
      <c r="R490" t="str">
        <f t="shared" si="7"/>
        <v>August</v>
      </c>
    </row>
    <row r="491" spans="1:18" x14ac:dyDescent="0.3">
      <c r="A491" t="s">
        <v>898</v>
      </c>
      <c r="B491">
        <v>46256</v>
      </c>
      <c r="C491" t="s">
        <v>118</v>
      </c>
      <c r="D491" t="s">
        <v>41</v>
      </c>
      <c r="E491" t="s">
        <v>20</v>
      </c>
      <c r="F491" t="s">
        <v>33</v>
      </c>
      <c r="G491" t="s">
        <v>22</v>
      </c>
      <c r="H491" t="s">
        <v>99</v>
      </c>
      <c r="I491">
        <v>98.54</v>
      </c>
      <c r="J491">
        <v>2</v>
      </c>
      <c r="K491">
        <v>9.85</v>
      </c>
      <c r="L491">
        <v>206.93</v>
      </c>
      <c r="M491">
        <v>173.02</v>
      </c>
      <c r="N491">
        <v>33.909999999999997</v>
      </c>
      <c r="O491">
        <v>16.39</v>
      </c>
      <c r="P491" t="s">
        <v>46</v>
      </c>
      <c r="Q491">
        <v>9.3000000000000007</v>
      </c>
      <c r="R491" t="str">
        <f t="shared" si="7"/>
        <v>August</v>
      </c>
    </row>
    <row r="492" spans="1:18" x14ac:dyDescent="0.3">
      <c r="A492" t="s">
        <v>899</v>
      </c>
      <c r="B492">
        <v>46257</v>
      </c>
      <c r="C492" t="s">
        <v>242</v>
      </c>
      <c r="D492" t="s">
        <v>41</v>
      </c>
      <c r="E492" t="s">
        <v>20</v>
      </c>
      <c r="F492" t="s">
        <v>33</v>
      </c>
      <c r="G492" t="s">
        <v>22</v>
      </c>
      <c r="H492" t="s">
        <v>45</v>
      </c>
      <c r="I492">
        <v>206.88</v>
      </c>
      <c r="J492">
        <v>9</v>
      </c>
      <c r="K492">
        <v>93.1</v>
      </c>
      <c r="L492">
        <v>1955.02</v>
      </c>
      <c r="M492">
        <v>1343.03</v>
      </c>
      <c r="N492">
        <v>611.99</v>
      </c>
      <c r="O492">
        <v>31.3</v>
      </c>
      <c r="P492" t="s">
        <v>46</v>
      </c>
      <c r="Q492">
        <v>7.2</v>
      </c>
      <c r="R492" t="str">
        <f t="shared" si="7"/>
        <v>August</v>
      </c>
    </row>
    <row r="493" spans="1:18" x14ac:dyDescent="0.3">
      <c r="A493" t="s">
        <v>900</v>
      </c>
      <c r="B493">
        <v>46257</v>
      </c>
      <c r="C493" t="s">
        <v>412</v>
      </c>
      <c r="D493" t="s">
        <v>19</v>
      </c>
      <c r="E493" t="s">
        <v>20</v>
      </c>
      <c r="F493" t="s">
        <v>21</v>
      </c>
      <c r="G493" t="s">
        <v>27</v>
      </c>
      <c r="H493" t="s">
        <v>52</v>
      </c>
      <c r="I493">
        <v>77.709999999999994</v>
      </c>
      <c r="J493">
        <v>3</v>
      </c>
      <c r="K493">
        <v>11.66</v>
      </c>
      <c r="L493">
        <v>244.79</v>
      </c>
      <c r="M493">
        <v>188.36</v>
      </c>
      <c r="N493">
        <v>56.43</v>
      </c>
      <c r="O493">
        <v>23.05</v>
      </c>
      <c r="P493" t="s">
        <v>38</v>
      </c>
      <c r="Q493">
        <v>7.4</v>
      </c>
      <c r="R493" t="str">
        <f t="shared" si="7"/>
        <v>August</v>
      </c>
    </row>
    <row r="494" spans="1:18" x14ac:dyDescent="0.3">
      <c r="A494" t="s">
        <v>901</v>
      </c>
      <c r="B494">
        <v>46257</v>
      </c>
      <c r="C494" t="s">
        <v>537</v>
      </c>
      <c r="D494" t="s">
        <v>59</v>
      </c>
      <c r="E494" t="s">
        <v>59</v>
      </c>
      <c r="F494" t="s">
        <v>21</v>
      </c>
      <c r="G494" t="s">
        <v>22</v>
      </c>
      <c r="H494" t="s">
        <v>42</v>
      </c>
      <c r="I494">
        <v>288.97000000000003</v>
      </c>
      <c r="J494">
        <v>10</v>
      </c>
      <c r="K494">
        <v>144.49</v>
      </c>
      <c r="L494">
        <v>3034.19</v>
      </c>
      <c r="M494">
        <v>2382.3200000000002</v>
      </c>
      <c r="N494">
        <v>651.87</v>
      </c>
      <c r="O494">
        <v>21.48</v>
      </c>
      <c r="P494" t="s">
        <v>29</v>
      </c>
      <c r="Q494">
        <v>9.1</v>
      </c>
      <c r="R494" t="str">
        <f t="shared" si="7"/>
        <v>August</v>
      </c>
    </row>
    <row r="495" spans="1:18" x14ac:dyDescent="0.3">
      <c r="A495" t="s">
        <v>902</v>
      </c>
      <c r="B495">
        <v>46257</v>
      </c>
      <c r="C495" t="s">
        <v>86</v>
      </c>
      <c r="D495" t="s">
        <v>51</v>
      </c>
      <c r="E495" t="s">
        <v>51</v>
      </c>
      <c r="F495" t="s">
        <v>21</v>
      </c>
      <c r="G495" t="s">
        <v>27</v>
      </c>
      <c r="H495" t="s">
        <v>52</v>
      </c>
      <c r="I495">
        <v>52.64</v>
      </c>
      <c r="J495">
        <v>10</v>
      </c>
      <c r="K495">
        <v>26.32</v>
      </c>
      <c r="L495">
        <v>552.72</v>
      </c>
      <c r="M495">
        <v>379.57</v>
      </c>
      <c r="N495">
        <v>173.15</v>
      </c>
      <c r="O495">
        <v>31.33</v>
      </c>
      <c r="P495" t="s">
        <v>29</v>
      </c>
      <c r="Q495">
        <v>9.1</v>
      </c>
      <c r="R495" t="str">
        <f t="shared" si="7"/>
        <v>August</v>
      </c>
    </row>
    <row r="496" spans="1:18" x14ac:dyDescent="0.3">
      <c r="A496" t="s">
        <v>903</v>
      </c>
      <c r="B496">
        <v>46257</v>
      </c>
      <c r="C496" t="s">
        <v>766</v>
      </c>
      <c r="D496" t="s">
        <v>19</v>
      </c>
      <c r="E496" t="s">
        <v>20</v>
      </c>
      <c r="F496" t="s">
        <v>21</v>
      </c>
      <c r="G496" t="s">
        <v>27</v>
      </c>
      <c r="H496" t="s">
        <v>99</v>
      </c>
      <c r="I496">
        <v>66.739999999999995</v>
      </c>
      <c r="J496">
        <v>5</v>
      </c>
      <c r="K496">
        <v>16.68</v>
      </c>
      <c r="L496">
        <v>350.38</v>
      </c>
      <c r="M496">
        <v>277.41000000000003</v>
      </c>
      <c r="N496">
        <v>72.97</v>
      </c>
      <c r="O496">
        <v>20.83</v>
      </c>
      <c r="P496" t="s">
        <v>46</v>
      </c>
      <c r="Q496">
        <v>5.3</v>
      </c>
      <c r="R496" t="str">
        <f t="shared" si="7"/>
        <v>August</v>
      </c>
    </row>
    <row r="497" spans="1:18" x14ac:dyDescent="0.3">
      <c r="A497" t="s">
        <v>904</v>
      </c>
      <c r="B497">
        <v>46258</v>
      </c>
      <c r="C497" t="s">
        <v>905</v>
      </c>
      <c r="D497" t="s">
        <v>59</v>
      </c>
      <c r="E497" t="s">
        <v>59</v>
      </c>
      <c r="F497" t="s">
        <v>21</v>
      </c>
      <c r="G497" t="s">
        <v>22</v>
      </c>
      <c r="H497" t="s">
        <v>28</v>
      </c>
      <c r="I497">
        <v>178.23</v>
      </c>
      <c r="J497">
        <v>4</v>
      </c>
      <c r="K497">
        <v>35.65</v>
      </c>
      <c r="L497">
        <v>748.57</v>
      </c>
      <c r="M497">
        <v>595.75</v>
      </c>
      <c r="N497">
        <v>152.82</v>
      </c>
      <c r="O497">
        <v>20.41</v>
      </c>
      <c r="P497" t="s">
        <v>24</v>
      </c>
      <c r="Q497">
        <v>7.1</v>
      </c>
      <c r="R497" t="str">
        <f t="shared" si="7"/>
        <v>August</v>
      </c>
    </row>
    <row r="498" spans="1:18" x14ac:dyDescent="0.3">
      <c r="A498" t="s">
        <v>906</v>
      </c>
      <c r="B498">
        <v>46258</v>
      </c>
      <c r="C498" t="s">
        <v>639</v>
      </c>
      <c r="D498" t="s">
        <v>41</v>
      </c>
      <c r="E498" t="s">
        <v>20</v>
      </c>
      <c r="F498" t="s">
        <v>21</v>
      </c>
      <c r="G498" t="s">
        <v>22</v>
      </c>
      <c r="H498" t="s">
        <v>23</v>
      </c>
      <c r="I498">
        <v>117.27</v>
      </c>
      <c r="J498">
        <v>1</v>
      </c>
      <c r="K498">
        <v>5.86</v>
      </c>
      <c r="L498">
        <v>123.13</v>
      </c>
      <c r="M498">
        <v>83.75</v>
      </c>
      <c r="N498">
        <v>39.380000000000003</v>
      </c>
      <c r="O498">
        <v>31.98</v>
      </c>
      <c r="P498" t="s">
        <v>35</v>
      </c>
      <c r="Q498">
        <v>9.1999999999999993</v>
      </c>
      <c r="R498" t="str">
        <f t="shared" si="7"/>
        <v>August</v>
      </c>
    </row>
    <row r="499" spans="1:18" x14ac:dyDescent="0.3">
      <c r="A499" t="s">
        <v>907</v>
      </c>
      <c r="B499">
        <v>46258</v>
      </c>
      <c r="C499" t="s">
        <v>908</v>
      </c>
      <c r="D499" t="s">
        <v>32</v>
      </c>
      <c r="E499" t="s">
        <v>32</v>
      </c>
      <c r="F499" t="s">
        <v>21</v>
      </c>
      <c r="G499" t="s">
        <v>27</v>
      </c>
      <c r="H499" t="s">
        <v>99</v>
      </c>
      <c r="I499">
        <v>101.12</v>
      </c>
      <c r="J499">
        <v>8</v>
      </c>
      <c r="K499">
        <v>40.450000000000003</v>
      </c>
      <c r="L499">
        <v>849.41</v>
      </c>
      <c r="M499">
        <v>690.73</v>
      </c>
      <c r="N499">
        <v>158.68</v>
      </c>
      <c r="O499">
        <v>18.68</v>
      </c>
      <c r="P499" t="s">
        <v>38</v>
      </c>
      <c r="Q499">
        <v>8.1</v>
      </c>
      <c r="R499" t="str">
        <f t="shared" si="7"/>
        <v>August</v>
      </c>
    </row>
    <row r="500" spans="1:18" x14ac:dyDescent="0.3">
      <c r="A500" t="s">
        <v>909</v>
      </c>
      <c r="B500">
        <v>46259</v>
      </c>
      <c r="C500" t="s">
        <v>910</v>
      </c>
      <c r="D500" t="s">
        <v>59</v>
      </c>
      <c r="E500" t="s">
        <v>59</v>
      </c>
      <c r="F500" t="s">
        <v>21</v>
      </c>
      <c r="G500" t="s">
        <v>22</v>
      </c>
      <c r="H500" t="s">
        <v>28</v>
      </c>
      <c r="I500">
        <v>151.5</v>
      </c>
      <c r="J500">
        <v>8</v>
      </c>
      <c r="K500">
        <v>60.6</v>
      </c>
      <c r="L500">
        <v>1272.5999999999999</v>
      </c>
      <c r="M500">
        <v>962.19</v>
      </c>
      <c r="N500">
        <v>310.41000000000003</v>
      </c>
      <c r="O500">
        <v>24.39</v>
      </c>
      <c r="P500" t="s">
        <v>46</v>
      </c>
      <c r="Q500">
        <v>7.1</v>
      </c>
      <c r="R500" t="str">
        <f t="shared" si="7"/>
        <v>August</v>
      </c>
    </row>
    <row r="501" spans="1:18" x14ac:dyDescent="0.3">
      <c r="A501" t="s">
        <v>911</v>
      </c>
      <c r="B501">
        <v>46259</v>
      </c>
      <c r="C501" t="s">
        <v>912</v>
      </c>
      <c r="D501" t="s">
        <v>19</v>
      </c>
      <c r="E501" t="s">
        <v>20</v>
      </c>
      <c r="F501" t="s">
        <v>21</v>
      </c>
      <c r="G501" t="s">
        <v>27</v>
      </c>
      <c r="H501" t="s">
        <v>99</v>
      </c>
      <c r="I501">
        <v>90.56</v>
      </c>
      <c r="J501">
        <v>1</v>
      </c>
      <c r="K501">
        <v>4.53</v>
      </c>
      <c r="L501">
        <v>95.09</v>
      </c>
      <c r="M501">
        <v>75.86</v>
      </c>
      <c r="N501">
        <v>19.23</v>
      </c>
      <c r="O501">
        <v>20.22</v>
      </c>
      <c r="P501" t="s">
        <v>46</v>
      </c>
      <c r="Q501">
        <v>9.3000000000000007</v>
      </c>
      <c r="R501" t="str">
        <f t="shared" si="7"/>
        <v>August</v>
      </c>
    </row>
    <row r="502" spans="1:18" x14ac:dyDescent="0.3">
      <c r="A502" t="s">
        <v>186</v>
      </c>
      <c r="B502">
        <v>46057</v>
      </c>
      <c r="C502" t="s">
        <v>187</v>
      </c>
      <c r="D502" t="s">
        <v>59</v>
      </c>
      <c r="E502" t="s">
        <v>59</v>
      </c>
      <c r="F502" t="s">
        <v>21</v>
      </c>
      <c r="G502" t="s">
        <v>27</v>
      </c>
      <c r="H502" t="s">
        <v>23</v>
      </c>
      <c r="I502">
        <v>150.04</v>
      </c>
      <c r="J502">
        <v>5</v>
      </c>
      <c r="K502">
        <v>37.51</v>
      </c>
      <c r="L502">
        <v>787.71</v>
      </c>
      <c r="M502">
        <v>637.71</v>
      </c>
      <c r="N502">
        <v>150</v>
      </c>
      <c r="O502">
        <v>19.04</v>
      </c>
      <c r="P502" t="s">
        <v>46</v>
      </c>
      <c r="Q502">
        <v>6.1</v>
      </c>
      <c r="R502" t="str">
        <f t="shared" si="7"/>
        <v>February</v>
      </c>
    </row>
  </sheetData>
  <conditionalFormatting sqref="A1">
    <cfRule type="duplicateValues" dxfId="5" priority="2"/>
  </conditionalFormatting>
  <conditionalFormatting sqref="A1:A502">
    <cfRule type="duplicateValues" dxfId="4" priority="1"/>
  </conditionalFormatting>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18"/>
  <sheetViews>
    <sheetView workbookViewId="0">
      <selection activeCell="C26" sqref="C26"/>
    </sheetView>
  </sheetViews>
  <sheetFormatPr defaultColWidth="17.6640625" defaultRowHeight="14.4" x14ac:dyDescent="0.3"/>
  <cols>
    <col min="3" max="3" width="29.109375" customWidth="1"/>
  </cols>
  <sheetData>
    <row r="1" spans="1:3" x14ac:dyDescent="0.3">
      <c r="A1" s="1" t="s">
        <v>913</v>
      </c>
      <c r="B1" s="1" t="s">
        <v>914</v>
      </c>
      <c r="C1" s="1" t="s">
        <v>915</v>
      </c>
    </row>
    <row r="2" spans="1:3" x14ac:dyDescent="0.3">
      <c r="A2" t="s">
        <v>0</v>
      </c>
      <c r="B2" t="s">
        <v>916</v>
      </c>
      <c r="C2" t="s">
        <v>917</v>
      </c>
    </row>
    <row r="3" spans="1:3" x14ac:dyDescent="0.3">
      <c r="A3" t="s">
        <v>1</v>
      </c>
      <c r="B3" t="s">
        <v>1</v>
      </c>
      <c r="C3" t="s">
        <v>918</v>
      </c>
    </row>
    <row r="4" spans="1:3" x14ac:dyDescent="0.3">
      <c r="A4" t="s">
        <v>2</v>
      </c>
      <c r="B4" t="s">
        <v>2</v>
      </c>
      <c r="C4" t="s">
        <v>919</v>
      </c>
    </row>
    <row r="5" spans="1:3" x14ac:dyDescent="0.3">
      <c r="A5" t="s">
        <v>3</v>
      </c>
      <c r="B5" t="s">
        <v>916</v>
      </c>
      <c r="C5" t="s">
        <v>920</v>
      </c>
    </row>
    <row r="6" spans="1:3" x14ac:dyDescent="0.3">
      <c r="A6" t="s">
        <v>4</v>
      </c>
      <c r="B6" t="s">
        <v>916</v>
      </c>
      <c r="C6" t="s">
        <v>921</v>
      </c>
    </row>
    <row r="7" spans="1:3" x14ac:dyDescent="0.3">
      <c r="A7" t="s">
        <v>5</v>
      </c>
      <c r="B7" t="s">
        <v>916</v>
      </c>
      <c r="C7" t="s">
        <v>922</v>
      </c>
    </row>
    <row r="8" spans="1:3" x14ac:dyDescent="0.3">
      <c r="A8" t="s">
        <v>6</v>
      </c>
      <c r="B8" t="s">
        <v>916</v>
      </c>
      <c r="C8" t="s">
        <v>923</v>
      </c>
    </row>
    <row r="9" spans="1:3" x14ac:dyDescent="0.3">
      <c r="A9" t="s">
        <v>7</v>
      </c>
      <c r="B9" t="s">
        <v>916</v>
      </c>
      <c r="C9" t="s">
        <v>924</v>
      </c>
    </row>
    <row r="10" spans="1:3" x14ac:dyDescent="0.3">
      <c r="A10" t="s">
        <v>8</v>
      </c>
      <c r="B10" t="s">
        <v>925</v>
      </c>
      <c r="C10" t="s">
        <v>926</v>
      </c>
    </row>
    <row r="11" spans="1:3" x14ac:dyDescent="0.3">
      <c r="A11" t="s">
        <v>9</v>
      </c>
      <c r="B11" t="s">
        <v>927</v>
      </c>
      <c r="C11" t="s">
        <v>928</v>
      </c>
    </row>
    <row r="12" spans="1:3" x14ac:dyDescent="0.3">
      <c r="A12" t="s">
        <v>10</v>
      </c>
      <c r="B12" t="s">
        <v>925</v>
      </c>
      <c r="C12" t="s">
        <v>929</v>
      </c>
    </row>
    <row r="13" spans="1:3" x14ac:dyDescent="0.3">
      <c r="A13" t="s">
        <v>11</v>
      </c>
      <c r="B13" t="s">
        <v>925</v>
      </c>
      <c r="C13" t="s">
        <v>930</v>
      </c>
    </row>
    <row r="14" spans="1:3" x14ac:dyDescent="0.3">
      <c r="A14" t="s">
        <v>12</v>
      </c>
      <c r="B14" t="s">
        <v>925</v>
      </c>
      <c r="C14" t="s">
        <v>931</v>
      </c>
    </row>
    <row r="15" spans="1:3" x14ac:dyDescent="0.3">
      <c r="A15" t="s">
        <v>13</v>
      </c>
      <c r="B15" t="s">
        <v>925</v>
      </c>
      <c r="C15" t="s">
        <v>932</v>
      </c>
    </row>
    <row r="16" spans="1:3" x14ac:dyDescent="0.3">
      <c r="A16" t="s">
        <v>14</v>
      </c>
      <c r="B16" t="s">
        <v>933</v>
      </c>
      <c r="C16" t="s">
        <v>934</v>
      </c>
    </row>
    <row r="17" spans="1:3" x14ac:dyDescent="0.3">
      <c r="A17" t="s">
        <v>15</v>
      </c>
      <c r="B17" t="s">
        <v>916</v>
      </c>
      <c r="C17" t="s">
        <v>935</v>
      </c>
    </row>
    <row r="18" spans="1:3" x14ac:dyDescent="0.3">
      <c r="A18" t="s">
        <v>16</v>
      </c>
      <c r="B18" t="s">
        <v>925</v>
      </c>
      <c r="C18" t="s">
        <v>936</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BA60B9-7574-46F9-8E05-EB9E1626371E}">
  <dimension ref="B3:B10"/>
  <sheetViews>
    <sheetView workbookViewId="0">
      <selection activeCell="B11" sqref="B11"/>
    </sheetView>
  </sheetViews>
  <sheetFormatPr defaultRowHeight="14.4" x14ac:dyDescent="0.3"/>
  <cols>
    <col min="2" max="2" width="33" customWidth="1"/>
  </cols>
  <sheetData>
    <row r="3" spans="2:2" x14ac:dyDescent="0.3">
      <c r="B3" s="7" t="s">
        <v>951</v>
      </c>
    </row>
    <row r="5" spans="2:2" x14ac:dyDescent="0.3">
      <c r="B5" t="s">
        <v>952</v>
      </c>
    </row>
    <row r="6" spans="2:2" x14ac:dyDescent="0.3">
      <c r="B6" t="s">
        <v>953</v>
      </c>
    </row>
    <row r="7" spans="2:2" x14ac:dyDescent="0.3">
      <c r="B7" t="s">
        <v>954</v>
      </c>
    </row>
    <row r="8" spans="2:2" x14ac:dyDescent="0.3">
      <c r="B8" t="s">
        <v>955</v>
      </c>
    </row>
    <row r="9" spans="2:2" x14ac:dyDescent="0.3">
      <c r="B9" t="s">
        <v>956</v>
      </c>
    </row>
    <row r="10" spans="2:2" x14ac:dyDescent="0.3">
      <c r="B10" t="s">
        <v>957</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D8180E-48C1-4456-B2B1-0E792A07B38C}">
  <dimension ref="A3:DA56"/>
  <sheetViews>
    <sheetView workbookViewId="0">
      <selection activeCell="J6" sqref="J6"/>
    </sheetView>
  </sheetViews>
  <sheetFormatPr defaultRowHeight="14.4" x14ac:dyDescent="0.3"/>
  <cols>
    <col min="1" max="1" width="16.21875" bestFit="1" customWidth="1"/>
    <col min="2" max="2" width="17" bestFit="1" customWidth="1"/>
    <col min="12" max="12" width="16.6640625" bestFit="1" customWidth="1"/>
    <col min="13" max="13" width="17" bestFit="1" customWidth="1"/>
    <col min="25" max="25" width="12.5546875" bestFit="1" customWidth="1"/>
    <col min="26" max="26" width="17" bestFit="1" customWidth="1"/>
    <col min="38" max="38" width="16.6640625" bestFit="1" customWidth="1"/>
    <col min="39" max="39" width="14.88671875" bestFit="1" customWidth="1"/>
    <col min="54" max="54" width="12.5546875" bestFit="1" customWidth="1"/>
    <col min="55" max="55" width="17" bestFit="1" customWidth="1"/>
    <col min="67" max="67" width="12.5546875" bestFit="1" customWidth="1"/>
    <col min="68" max="68" width="17" bestFit="1" customWidth="1"/>
    <col min="88" max="88" width="20.77734375" bestFit="1" customWidth="1"/>
    <col min="89" max="89" width="17" bestFit="1" customWidth="1"/>
    <col min="104" max="104" width="12.5546875" bestFit="1" customWidth="1"/>
    <col min="105" max="105" width="21.77734375" bestFit="1" customWidth="1"/>
    <col min="106" max="106" width="19.5546875" bestFit="1" customWidth="1"/>
  </cols>
  <sheetData>
    <row r="3" spans="1:89" x14ac:dyDescent="0.3">
      <c r="A3" s="4" t="s">
        <v>938</v>
      </c>
      <c r="B3" t="s">
        <v>937</v>
      </c>
    </row>
    <row r="4" spans="1:89" x14ac:dyDescent="0.3">
      <c r="A4" s="5" t="s">
        <v>19</v>
      </c>
      <c r="B4" s="8">
        <v>111495.97000000003</v>
      </c>
    </row>
    <row r="5" spans="1:89" x14ac:dyDescent="0.3">
      <c r="A5" s="5" t="s">
        <v>41</v>
      </c>
      <c r="B5" s="8">
        <v>80175.58</v>
      </c>
      <c r="BB5" s="4" t="s">
        <v>938</v>
      </c>
      <c r="BC5" t="s">
        <v>937</v>
      </c>
    </row>
    <row r="6" spans="1:89" x14ac:dyDescent="0.3">
      <c r="A6" s="5" t="s">
        <v>51</v>
      </c>
      <c r="B6" s="8">
        <v>97181.04999999993</v>
      </c>
      <c r="BB6" s="5" t="s">
        <v>33</v>
      </c>
      <c r="BC6" s="8">
        <v>237398.43999999989</v>
      </c>
    </row>
    <row r="7" spans="1:89" x14ac:dyDescent="0.3">
      <c r="A7" s="5" t="s">
        <v>59</v>
      </c>
      <c r="B7" s="8">
        <v>105913.94000000005</v>
      </c>
      <c r="BB7" s="5" t="s">
        <v>21</v>
      </c>
      <c r="BC7" s="8">
        <v>220876.24</v>
      </c>
    </row>
    <row r="8" spans="1:89" x14ac:dyDescent="0.3">
      <c r="A8" s="5" t="s">
        <v>32</v>
      </c>
      <c r="B8" s="8">
        <v>63508.14</v>
      </c>
      <c r="BB8" s="5" t="s">
        <v>958</v>
      </c>
      <c r="BC8" s="8"/>
    </row>
    <row r="9" spans="1:89" x14ac:dyDescent="0.3">
      <c r="A9" s="5" t="s">
        <v>939</v>
      </c>
      <c r="B9" s="8">
        <v>458274.68000000005</v>
      </c>
      <c r="BB9" s="5" t="s">
        <v>939</v>
      </c>
      <c r="BC9" s="8">
        <v>458274.67999999988</v>
      </c>
    </row>
    <row r="10" spans="1:89" x14ac:dyDescent="0.3">
      <c r="AL10" s="4" t="s">
        <v>938</v>
      </c>
      <c r="AM10" t="s">
        <v>949</v>
      </c>
      <c r="CJ10" s="4" t="s">
        <v>938</v>
      </c>
      <c r="CK10" t="s">
        <v>937</v>
      </c>
    </row>
    <row r="11" spans="1:89" x14ac:dyDescent="0.3">
      <c r="L11" s="4" t="s">
        <v>938</v>
      </c>
      <c r="M11" t="s">
        <v>937</v>
      </c>
      <c r="AL11" s="5" t="s">
        <v>52</v>
      </c>
      <c r="AM11" s="8">
        <v>168</v>
      </c>
      <c r="CJ11" s="5" t="s">
        <v>19</v>
      </c>
      <c r="CK11">
        <v>111495.97000000002</v>
      </c>
    </row>
    <row r="12" spans="1:89" x14ac:dyDescent="0.3">
      <c r="L12" s="5" t="s">
        <v>52</v>
      </c>
      <c r="M12" s="8">
        <v>14573.5</v>
      </c>
      <c r="Y12" s="4" t="s">
        <v>938</v>
      </c>
      <c r="Z12" t="s">
        <v>937</v>
      </c>
      <c r="AL12" s="5" t="s">
        <v>99</v>
      </c>
      <c r="AM12" s="8">
        <v>358</v>
      </c>
      <c r="BO12" s="4" t="s">
        <v>938</v>
      </c>
      <c r="BP12" t="s">
        <v>937</v>
      </c>
      <c r="CJ12" s="6" t="s">
        <v>52</v>
      </c>
      <c r="CK12">
        <v>3678.95</v>
      </c>
    </row>
    <row r="13" spans="1:89" x14ac:dyDescent="0.3">
      <c r="L13" s="5" t="s">
        <v>99</v>
      </c>
      <c r="M13" s="8">
        <v>35559.209999999992</v>
      </c>
      <c r="Y13" s="5" t="s">
        <v>941</v>
      </c>
      <c r="Z13" s="8">
        <v>67065.849999999991</v>
      </c>
      <c r="AL13" s="5" t="s">
        <v>28</v>
      </c>
      <c r="AM13" s="8">
        <v>405</v>
      </c>
      <c r="BO13" s="5" t="s">
        <v>38</v>
      </c>
      <c r="BP13" s="8">
        <v>71264.650000000009</v>
      </c>
      <c r="CJ13" s="6" t="s">
        <v>99</v>
      </c>
      <c r="CK13">
        <v>7460.5800000000008</v>
      </c>
    </row>
    <row r="14" spans="1:89" x14ac:dyDescent="0.3">
      <c r="L14" s="5" t="s">
        <v>28</v>
      </c>
      <c r="M14" s="8">
        <v>63242.340000000011</v>
      </c>
      <c r="Y14" s="5" t="s">
        <v>942</v>
      </c>
      <c r="Z14" s="8">
        <v>52465.490000000005</v>
      </c>
      <c r="AL14" s="5" t="s">
        <v>34</v>
      </c>
      <c r="AM14" s="8">
        <v>392</v>
      </c>
      <c r="BO14" s="5" t="s">
        <v>35</v>
      </c>
      <c r="BP14" s="8">
        <v>85123.999999999985</v>
      </c>
      <c r="CJ14" s="6" t="s">
        <v>28</v>
      </c>
      <c r="CK14">
        <v>15684.560000000001</v>
      </c>
    </row>
    <row r="15" spans="1:89" x14ac:dyDescent="0.3">
      <c r="L15" s="5" t="s">
        <v>34</v>
      </c>
      <c r="M15" s="8">
        <v>31419.09</v>
      </c>
      <c r="Y15" s="5" t="s">
        <v>943</v>
      </c>
      <c r="Z15" s="8">
        <v>54928.170000000006</v>
      </c>
      <c r="AL15" s="5" t="s">
        <v>45</v>
      </c>
      <c r="AM15" s="8">
        <v>477</v>
      </c>
      <c r="BO15" s="5" t="s">
        <v>29</v>
      </c>
      <c r="BP15" s="8">
        <v>90183.869999999966</v>
      </c>
      <c r="CJ15" s="6" t="s">
        <v>34</v>
      </c>
      <c r="CK15">
        <v>7228.93</v>
      </c>
    </row>
    <row r="16" spans="1:89" x14ac:dyDescent="0.3">
      <c r="L16" s="5" t="s">
        <v>45</v>
      </c>
      <c r="M16" s="8">
        <v>106162.01000000002</v>
      </c>
      <c r="Y16" s="5" t="s">
        <v>944</v>
      </c>
      <c r="Z16" s="8">
        <v>49154.549999999996</v>
      </c>
      <c r="AL16" s="5" t="s">
        <v>42</v>
      </c>
      <c r="AM16" s="8">
        <v>301</v>
      </c>
      <c r="BO16" s="5" t="s">
        <v>46</v>
      </c>
      <c r="BP16" s="8">
        <v>166231.25999999992</v>
      </c>
      <c r="CJ16" s="6" t="s">
        <v>45</v>
      </c>
      <c r="CK16">
        <v>32824.990000000005</v>
      </c>
    </row>
    <row r="17" spans="12:105" x14ac:dyDescent="0.3">
      <c r="L17" s="5" t="s">
        <v>42</v>
      </c>
      <c r="M17" s="8">
        <v>111896.61000000002</v>
      </c>
      <c r="Y17" s="5" t="s">
        <v>945</v>
      </c>
      <c r="Z17" s="8">
        <v>65455.099999999984</v>
      </c>
      <c r="AL17" s="5" t="s">
        <v>72</v>
      </c>
      <c r="AM17" s="8">
        <v>287</v>
      </c>
      <c r="BO17" s="5" t="s">
        <v>24</v>
      </c>
      <c r="BP17" s="8">
        <v>45470.9</v>
      </c>
      <c r="CJ17" s="6" t="s">
        <v>42</v>
      </c>
      <c r="CK17">
        <v>22405</v>
      </c>
    </row>
    <row r="18" spans="12:105" x14ac:dyDescent="0.3">
      <c r="L18" s="5" t="s">
        <v>72</v>
      </c>
      <c r="M18" s="8">
        <v>58599.99000000002</v>
      </c>
      <c r="Y18" s="5" t="s">
        <v>946</v>
      </c>
      <c r="Z18" s="8">
        <v>77321.020000000019</v>
      </c>
      <c r="AL18" s="5" t="s">
        <v>23</v>
      </c>
      <c r="AM18" s="8">
        <v>312</v>
      </c>
      <c r="BO18" s="5" t="s">
        <v>958</v>
      </c>
      <c r="BP18" s="8"/>
      <c r="CJ18" s="6" t="s">
        <v>72</v>
      </c>
      <c r="CK18">
        <v>9129.2500000000018</v>
      </c>
    </row>
    <row r="19" spans="12:105" x14ac:dyDescent="0.3">
      <c r="L19" s="5" t="s">
        <v>23</v>
      </c>
      <c r="M19" s="8">
        <v>36821.93</v>
      </c>
      <c r="Y19" s="5" t="s">
        <v>947</v>
      </c>
      <c r="Z19" s="8">
        <v>54049.460000000014</v>
      </c>
      <c r="AL19" s="5" t="s">
        <v>958</v>
      </c>
      <c r="AM19" s="8"/>
      <c r="BO19" s="5" t="s">
        <v>939</v>
      </c>
      <c r="BP19" s="8">
        <v>458274.67999999993</v>
      </c>
      <c r="CJ19" s="6" t="s">
        <v>23</v>
      </c>
      <c r="CK19">
        <v>13083.710000000001</v>
      </c>
    </row>
    <row r="20" spans="12:105" x14ac:dyDescent="0.3">
      <c r="L20" s="5" t="s">
        <v>939</v>
      </c>
      <c r="M20" s="8">
        <v>458274.68</v>
      </c>
      <c r="Y20" s="5" t="s">
        <v>948</v>
      </c>
      <c r="Z20" s="8">
        <v>37835.040000000001</v>
      </c>
      <c r="AL20" s="5" t="s">
        <v>939</v>
      </c>
      <c r="AM20" s="8">
        <v>2700</v>
      </c>
      <c r="CJ20" s="5" t="s">
        <v>41</v>
      </c>
      <c r="CK20">
        <v>80175.58</v>
      </c>
    </row>
    <row r="21" spans="12:105" x14ac:dyDescent="0.3">
      <c r="Y21" s="5" t="s">
        <v>958</v>
      </c>
      <c r="Z21" s="8"/>
      <c r="CJ21" s="6" t="s">
        <v>52</v>
      </c>
      <c r="CK21">
        <v>4339.4799999999996</v>
      </c>
      <c r="CZ21" s="4" t="s">
        <v>938</v>
      </c>
      <c r="DA21" t="s">
        <v>950</v>
      </c>
    </row>
    <row r="22" spans="12:105" x14ac:dyDescent="0.3">
      <c r="Y22" s="5" t="s">
        <v>939</v>
      </c>
      <c r="Z22" s="8">
        <v>458274.68</v>
      </c>
      <c r="CJ22" s="6" t="s">
        <v>99</v>
      </c>
      <c r="CK22">
        <v>6916.53</v>
      </c>
      <c r="CZ22" s="5" t="s">
        <v>941</v>
      </c>
      <c r="DA22">
        <v>1740.1299999999999</v>
      </c>
    </row>
    <row r="23" spans="12:105" x14ac:dyDescent="0.3">
      <c r="CJ23" s="6" t="s">
        <v>28</v>
      </c>
      <c r="CK23">
        <v>10796.189999999999</v>
      </c>
      <c r="CZ23" s="5" t="s">
        <v>942</v>
      </c>
      <c r="DA23">
        <v>1184.8200000000002</v>
      </c>
    </row>
    <row r="24" spans="12:105" x14ac:dyDescent="0.3">
      <c r="CJ24" s="6" t="s">
        <v>34</v>
      </c>
      <c r="CK24">
        <v>7037.0399999999981</v>
      </c>
      <c r="CZ24" s="5" t="s">
        <v>943</v>
      </c>
      <c r="DA24">
        <v>1650.3500000000001</v>
      </c>
    </row>
    <row r="25" spans="12:105" x14ac:dyDescent="0.3">
      <c r="CJ25" s="6" t="s">
        <v>45</v>
      </c>
      <c r="CK25">
        <v>20261.46</v>
      </c>
      <c r="CZ25" s="5" t="s">
        <v>944</v>
      </c>
      <c r="DA25">
        <v>1426.1599999999999</v>
      </c>
    </row>
    <row r="26" spans="12:105" x14ac:dyDescent="0.3">
      <c r="CJ26" s="6" t="s">
        <v>42</v>
      </c>
      <c r="CK26">
        <v>16094.029999999999</v>
      </c>
      <c r="CZ26" s="5" t="s">
        <v>945</v>
      </c>
      <c r="DA26">
        <v>1737.99</v>
      </c>
    </row>
    <row r="27" spans="12:105" x14ac:dyDescent="0.3">
      <c r="CJ27" s="6" t="s">
        <v>72</v>
      </c>
      <c r="CK27">
        <v>7278.38</v>
      </c>
      <c r="CZ27" s="5" t="s">
        <v>946</v>
      </c>
      <c r="DA27">
        <v>1810.7500000000007</v>
      </c>
    </row>
    <row r="28" spans="12:105" x14ac:dyDescent="0.3">
      <c r="CJ28" s="6" t="s">
        <v>23</v>
      </c>
      <c r="CK28">
        <v>7452.4700000000012</v>
      </c>
      <c r="CZ28" s="5" t="s">
        <v>947</v>
      </c>
      <c r="DA28">
        <v>1424.6999999999996</v>
      </c>
    </row>
    <row r="29" spans="12:105" x14ac:dyDescent="0.3">
      <c r="CJ29" s="5" t="s">
        <v>51</v>
      </c>
      <c r="CK29">
        <v>97181.05</v>
      </c>
      <c r="CZ29" s="5" t="s">
        <v>948</v>
      </c>
      <c r="DA29">
        <v>1212.56</v>
      </c>
    </row>
    <row r="30" spans="12:105" x14ac:dyDescent="0.3">
      <c r="CJ30" s="6" t="s">
        <v>52</v>
      </c>
      <c r="CK30">
        <v>2975.21</v>
      </c>
      <c r="CZ30" s="5" t="s">
        <v>939</v>
      </c>
      <c r="DA30">
        <v>12187.46</v>
      </c>
    </row>
    <row r="31" spans="12:105" x14ac:dyDescent="0.3">
      <c r="CJ31" s="6" t="s">
        <v>99</v>
      </c>
      <c r="CK31">
        <v>4916.8999999999996</v>
      </c>
    </row>
    <row r="32" spans="12:105" x14ac:dyDescent="0.3">
      <c r="CJ32" s="6" t="s">
        <v>28</v>
      </c>
      <c r="CK32">
        <v>10953.249999999998</v>
      </c>
    </row>
    <row r="33" spans="88:89" x14ac:dyDescent="0.3">
      <c r="CJ33" s="6" t="s">
        <v>34</v>
      </c>
      <c r="CK33">
        <v>6428.1</v>
      </c>
    </row>
    <row r="34" spans="88:89" x14ac:dyDescent="0.3">
      <c r="CJ34" s="6" t="s">
        <v>45</v>
      </c>
      <c r="CK34">
        <v>16982.839999999997</v>
      </c>
    </row>
    <row r="35" spans="88:89" x14ac:dyDescent="0.3">
      <c r="CJ35" s="6" t="s">
        <v>42</v>
      </c>
      <c r="CK35">
        <v>38989.130000000005</v>
      </c>
    </row>
    <row r="36" spans="88:89" x14ac:dyDescent="0.3">
      <c r="CJ36" s="6" t="s">
        <v>72</v>
      </c>
      <c r="CK36">
        <v>13043.769999999999</v>
      </c>
    </row>
    <row r="37" spans="88:89" x14ac:dyDescent="0.3">
      <c r="CJ37" s="6" t="s">
        <v>23</v>
      </c>
      <c r="CK37">
        <v>2891.85</v>
      </c>
    </row>
    <row r="38" spans="88:89" x14ac:dyDescent="0.3">
      <c r="CJ38" s="5" t="s">
        <v>59</v>
      </c>
      <c r="CK38">
        <v>105913.93999999999</v>
      </c>
    </row>
    <row r="39" spans="88:89" x14ac:dyDescent="0.3">
      <c r="CJ39" s="6" t="s">
        <v>52</v>
      </c>
      <c r="CK39">
        <v>2884.29</v>
      </c>
    </row>
    <row r="40" spans="88:89" x14ac:dyDescent="0.3">
      <c r="CJ40" s="6" t="s">
        <v>99</v>
      </c>
      <c r="CK40">
        <v>8733.99</v>
      </c>
    </row>
    <row r="41" spans="88:89" x14ac:dyDescent="0.3">
      <c r="CJ41" s="6" t="s">
        <v>28</v>
      </c>
      <c r="CK41">
        <v>15320.47</v>
      </c>
    </row>
    <row r="42" spans="88:89" x14ac:dyDescent="0.3">
      <c r="CJ42" s="6" t="s">
        <v>34</v>
      </c>
      <c r="CK42">
        <v>6351.4900000000007</v>
      </c>
    </row>
    <row r="43" spans="88:89" x14ac:dyDescent="0.3">
      <c r="CJ43" s="6" t="s">
        <v>45</v>
      </c>
      <c r="CK43">
        <v>26224.49</v>
      </c>
    </row>
    <row r="44" spans="88:89" x14ac:dyDescent="0.3">
      <c r="CJ44" s="6" t="s">
        <v>42</v>
      </c>
      <c r="CK44">
        <v>17190.54</v>
      </c>
    </row>
    <row r="45" spans="88:89" x14ac:dyDescent="0.3">
      <c r="CJ45" s="6" t="s">
        <v>72</v>
      </c>
      <c r="CK45">
        <v>22072.940000000002</v>
      </c>
    </row>
    <row r="46" spans="88:89" x14ac:dyDescent="0.3">
      <c r="CJ46" s="6" t="s">
        <v>23</v>
      </c>
      <c r="CK46">
        <v>7135.7300000000005</v>
      </c>
    </row>
    <row r="47" spans="88:89" x14ac:dyDescent="0.3">
      <c r="CJ47" s="5" t="s">
        <v>32</v>
      </c>
      <c r="CK47">
        <v>63508.140000000007</v>
      </c>
    </row>
    <row r="48" spans="88:89" x14ac:dyDescent="0.3">
      <c r="CJ48" s="6" t="s">
        <v>52</v>
      </c>
      <c r="CK48">
        <v>695.56999999999994</v>
      </c>
    </row>
    <row r="49" spans="88:89" x14ac:dyDescent="0.3">
      <c r="CJ49" s="6" t="s">
        <v>99</v>
      </c>
      <c r="CK49">
        <v>7531.21</v>
      </c>
    </row>
    <row r="50" spans="88:89" x14ac:dyDescent="0.3">
      <c r="CJ50" s="6" t="s">
        <v>28</v>
      </c>
      <c r="CK50">
        <v>10487.869999999999</v>
      </c>
    </row>
    <row r="51" spans="88:89" x14ac:dyDescent="0.3">
      <c r="CJ51" s="6" t="s">
        <v>34</v>
      </c>
      <c r="CK51">
        <v>4373.53</v>
      </c>
    </row>
    <row r="52" spans="88:89" x14ac:dyDescent="0.3">
      <c r="CJ52" s="6" t="s">
        <v>45</v>
      </c>
      <c r="CK52">
        <v>9868.23</v>
      </c>
    </row>
    <row r="53" spans="88:89" x14ac:dyDescent="0.3">
      <c r="CJ53" s="6" t="s">
        <v>42</v>
      </c>
      <c r="CK53">
        <v>17217.91</v>
      </c>
    </row>
    <row r="54" spans="88:89" x14ac:dyDescent="0.3">
      <c r="CJ54" s="6" t="s">
        <v>72</v>
      </c>
      <c r="CK54">
        <v>7075.65</v>
      </c>
    </row>
    <row r="55" spans="88:89" x14ac:dyDescent="0.3">
      <c r="CJ55" s="6" t="s">
        <v>23</v>
      </c>
      <c r="CK55">
        <v>6258.1699999999992</v>
      </c>
    </row>
    <row r="56" spans="88:89" x14ac:dyDescent="0.3">
      <c r="CJ56" s="5" t="s">
        <v>939</v>
      </c>
      <c r="CK56">
        <v>458274.67999999988</v>
      </c>
    </row>
  </sheetData>
  <pageMargins left="0.7" right="0.7" top="0.75" bottom="0.75" header="0.3" footer="0.3"/>
  <drawing r:id="rId9"/>
  <extLst>
    <ext xmlns:x14="http://schemas.microsoft.com/office/spreadsheetml/2009/9/main" uri="{A8765BA9-456A-4dab-B4F3-ACF838C121DE}">
      <x14:slicerList>
        <x14:slicer r:id="rId10"/>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DBEF82-E519-4033-9D67-54BC0D6E14B5}">
  <sheetPr>
    <tabColor theme="5" tint="0.39997558519241921"/>
  </sheetPr>
  <dimension ref="A1"/>
  <sheetViews>
    <sheetView tabSelected="1" workbookViewId="0">
      <selection activeCell="B1" sqref="B1:B1048576"/>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supermarket_Data</vt:lpstr>
      <vt:lpstr>Data_Dictionary</vt:lpstr>
      <vt:lpstr>KPI_CARDS</vt:lpstr>
      <vt:lpstr>pivot_tables</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sai siddartha alpati</cp:lastModifiedBy>
  <dcterms:created xsi:type="dcterms:W3CDTF">2026-08-27T17:17:11Z</dcterms:created>
  <dcterms:modified xsi:type="dcterms:W3CDTF">2026-09-05T17:32:25Z</dcterms:modified>
</cp:coreProperties>
</file>